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codeName="ThisWorkbook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13_ncr:1_{5648D468-C944-4D3F-A2C8-9B4D61C5FCDB}" xr6:coauthVersionLast="47" xr6:coauthVersionMax="47" xr10:uidLastSave="{00000000-0000-0000-0000-000000000000}"/>
  <bookViews>
    <workbookView xWindow="-108" yWindow="-108" windowWidth="23256" windowHeight="12456" tabRatio="594" activeTab="1" xr2:uid="{00000000-000D-0000-FFFF-FFFF00000000}"/>
  </bookViews>
  <sheets>
    <sheet name="Software" sheetId="29" r:id="rId1"/>
    <sheet name="Telecom" sheetId="1" r:id="rId2"/>
    <sheet name="Sheet2" sheetId="28" state="hidden" r:id="rId3"/>
    <sheet name="Sheet1" sheetId="26" state="hidden" r:id="rId4"/>
    <sheet name="PROBUS" sheetId="25" state="hidden" r:id="rId5"/>
    <sheet name="MMEC Mannesmann LLC" sheetId="2" state="hidden" r:id="rId6"/>
    <sheet name="Oil Refining Company(TAKREER)" sheetId="3" state="hidden" r:id="rId7"/>
    <sheet name="Security System - SOUR GAS" sheetId="4" state="hidden" r:id="rId8"/>
    <sheet name="Mirfa Busduct" sheetId="5" state="hidden" r:id="rId9"/>
    <sheet name="Sicon Oil &amp; Gas S.P.A." sheetId="6" state="hidden" r:id="rId10"/>
    <sheet name="Mechanical Maintenance" sheetId="7" state="hidden" r:id="rId11"/>
    <sheet name="ENE - Cathodic Protection Digit" sheetId="10" state="hidden" r:id="rId12"/>
    <sheet name="SOOT BLOWERS" sheetId="8" state="hidden" r:id="rId13"/>
    <sheet name="Civil Works at ADNOC" sheetId="9" state="hidden" r:id="rId14"/>
    <sheet name="Technical Services UPS" sheetId="11" state="hidden" r:id="rId15"/>
    <sheet name="Magma Waste Treatment" sheetId="12" state="hidden" r:id="rId16"/>
    <sheet name="Saari Caravan" sheetId="24" state="hidden" r:id="rId17"/>
    <sheet name="Transformer spare" sheetId="13" state="hidden" r:id="rId18"/>
    <sheet name="ADNOC DISTRIBUTION ATS Panel " sheetId="14" state="hidden" r:id="rId19"/>
    <sheet name="Sour Gas Instrument &amp; Control S" sheetId="15" state="hidden" r:id="rId20"/>
    <sheet name="Oil Refining Old Battery banks" sheetId="16" state="hidden" r:id="rId21"/>
    <sheet name="Oil Refining Electrical PDM" sheetId="17" state="hidden" r:id="rId22"/>
    <sheet name="Oil Refining  Jetty Berths" sheetId="18" state="hidden" r:id="rId23"/>
    <sheet name="ADNOC Onshore 20 gaswells" sheetId="19" state="hidden" r:id="rId24"/>
    <sheet name="On Shore Revamping of Flow line" sheetId="20" state="hidden" r:id="rId25"/>
    <sheet name="Borouge CCTV Upgradation" sheetId="21" state="hidden" r:id="rId26"/>
    <sheet name="ADNOC Gas Processing Thermowell" sheetId="22" state="hidden" r:id="rId27"/>
    <sheet name="WISON ENERGY" sheetId="23" state="hidden" r:id="rId28"/>
  </sheets>
  <definedNames>
    <definedName name="_xlnm._FilterDatabase" localSheetId="0" hidden="1">Software!$A$3:$H$29</definedName>
    <definedName name="_xlnm._FilterDatabase" localSheetId="1" hidden="1">Telecom!$A$3:$H$31</definedName>
    <definedName name="_xlnm.Print_Area" localSheetId="0">Software!$A$1:$H$33</definedName>
    <definedName name="_xlnm.Print_Area" localSheetId="1">Telecom!$A$1:$H$31</definedName>
    <definedName name="_xlnm.Print_Titles" localSheetId="0">Software!$1:$3</definedName>
    <definedName name="_xlnm.Print_Titles" localSheetId="1">Telecom!$1:$3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25" l="1"/>
  <c r="G21" i="25"/>
  <c r="F21" i="25"/>
  <c r="F17" i="21"/>
  <c r="F17" i="15"/>
  <c r="G16" i="24"/>
  <c r="H16" i="24"/>
  <c r="F16" i="24"/>
  <c r="G20" i="12"/>
  <c r="H20" i="12"/>
  <c r="I20" i="12"/>
  <c r="F20" i="12"/>
  <c r="P25" i="9"/>
  <c r="G25" i="9"/>
  <c r="H25" i="9"/>
  <c r="I25" i="9"/>
  <c r="J25" i="9"/>
  <c r="K25" i="9"/>
  <c r="L25" i="9"/>
  <c r="M25" i="9"/>
  <c r="N25" i="9"/>
  <c r="O25" i="9"/>
  <c r="F25" i="9"/>
  <c r="J114" i="3" l="1"/>
  <c r="I114" i="3"/>
  <c r="H114" i="3"/>
</calcChain>
</file>

<file path=xl/sharedStrings.xml><?xml version="1.0" encoding="utf-8"?>
<sst xmlns="http://schemas.openxmlformats.org/spreadsheetml/2006/main" count="1988" uniqueCount="691">
  <si>
    <t>SI No.</t>
  </si>
  <si>
    <t>Client Name</t>
  </si>
  <si>
    <t>Project Title</t>
  </si>
  <si>
    <t>Start Date</t>
  </si>
  <si>
    <t>End Date</t>
  </si>
  <si>
    <t>Output Vat 5 %</t>
  </si>
  <si>
    <t>ADNOC HQ</t>
  </si>
  <si>
    <t>ADNOC Gas Processing</t>
  </si>
  <si>
    <t>PCI-DSS COMPLIANCE MAINTENANCE SERVICES CALL OFF ORDER</t>
  </si>
  <si>
    <t/>
  </si>
  <si>
    <t>Grand Total</t>
  </si>
  <si>
    <t>Temporary Site Facilities - Establishment Cost for 6 Months</t>
  </si>
  <si>
    <t>INV-0937-2023</t>
  </si>
  <si>
    <t>Sales</t>
  </si>
  <si>
    <t>MMEC Mannesmann LLC</t>
  </si>
  <si>
    <t>Civil Works till January 2023 - PO-0002510</t>
  </si>
  <si>
    <t>INV-0788-2023</t>
  </si>
  <si>
    <t>Temporary Site Facilities - Establishment Cost for 6 Months - PO-0002510</t>
  </si>
  <si>
    <t>INV-0787-2023</t>
  </si>
  <si>
    <t>41</t>
  </si>
  <si>
    <t>Receipt</t>
  </si>
  <si>
    <t>INV-0639-2022</t>
  </si>
  <si>
    <t>RakBank- 0392772386001</t>
  </si>
  <si>
    <t>Engineering &amp; Contracting</t>
  </si>
  <si>
    <t>Gross Total</t>
  </si>
  <si>
    <t>Narration</t>
  </si>
  <si>
    <t>Voucher No.</t>
  </si>
  <si>
    <t>Voucher Type</t>
  </si>
  <si>
    <t>Particulars</t>
  </si>
  <si>
    <t>Date</t>
  </si>
  <si>
    <t>1-Jan-2022 to 31-Dec-2023</t>
  </si>
  <si>
    <t>TRN : 100553621200003</t>
  </si>
  <si>
    <t>Abu Dhabi</t>
  </si>
  <si>
    <t>14th Fllor Office 1402</t>
  </si>
  <si>
    <t>Airport Road, Al Wifaq Finance Tower,</t>
  </si>
  <si>
    <t>Abu Dhabi Branch</t>
  </si>
  <si>
    <t>Ledger Account</t>
  </si>
  <si>
    <t>TRN : 100260347800003</t>
  </si>
  <si>
    <t>Emirate : Abu Dhabi</t>
  </si>
  <si>
    <t>UAE</t>
  </si>
  <si>
    <t>ABU DHABI</t>
  </si>
  <si>
    <t>P O BOX NO 29058</t>
  </si>
  <si>
    <t>CAPSA ENGINEERING &amp; CONTRACTING LLC</t>
  </si>
  <si>
    <t>M/s Abu Dhabi Oil Refining Company(TAKREER)ABUDHABI</t>
  </si>
  <si>
    <t>P O BOX 3539</t>
  </si>
  <si>
    <t>TRN : 100229459100003</t>
  </si>
  <si>
    <t>Adnoc Refining Maintenance - 5% ICV Loss with VAT</t>
  </si>
  <si>
    <t>Round Off</t>
  </si>
  <si>
    <t>ADCB - 12419692920001</t>
  </si>
  <si>
    <t>Adnoc Soot Blower 5% ICV Retention</t>
  </si>
  <si>
    <t>Replacement of old battery banks(4700018137) -5% ICV loss with VAT</t>
  </si>
  <si>
    <t>ADNOC Refining PDM - 5% ICV Retention</t>
  </si>
  <si>
    <t>INV-0660-2022</t>
  </si>
  <si>
    <t>ADNOC Refining - Maintenance of Electrical Transmission at Adnoc Refining - GUP Shared services invoice for the month of April 2022 Project No.4700014094</t>
  </si>
  <si>
    <t>INV-0665-2022</t>
  </si>
  <si>
    <t>ADNOC Refining - Maintenance of Electrical Transmission at Adnoc Refining - GUP Shared services invoice for the month of May 2022 Project No.4700014094</t>
  </si>
  <si>
    <t>INV-0670-2022</t>
  </si>
  <si>
    <t>ADNOC Refining - Maintenance of Electrical Transmission at Adnoc Refining - GUP Shared services invoice for the month of June 2022 Project No.4700014094</t>
  </si>
  <si>
    <t>INV-0675-2022</t>
  </si>
  <si>
    <t>ADNOC Refining - Maintenance of Electrical Transmission at Adnoc Refining - GUP Shared services invoice for the month of July 2022 Project No.4700014094</t>
  </si>
  <si>
    <t>INV-0680-2022</t>
  </si>
  <si>
    <t>ADNOC Refining - Maintenance of Electrical Transmission at Adnoc Refining - GUP Shared services invoice for the month of August 2022 Project No.4700014094</t>
  </si>
  <si>
    <t>INV-0659-2022</t>
  </si>
  <si>
    <t>ADNOC Refining - Maintenance of Electrical Transmission at Adnoc Refining - RR3 Shared services invoice for the month of April 2022 Project No.4700014094</t>
  </si>
  <si>
    <t>INV-0664-2022</t>
  </si>
  <si>
    <t>ADNOC Refining - Maintenance of Electrical Transmission at Adnoc Refining - RR3 Shared services invoice for the month of May 2022 Project No.4700014094</t>
  </si>
  <si>
    <t>INV-0669-2022</t>
  </si>
  <si>
    <t>ADNOC Refining - Maintenance of Electrical Transmission at Adnoc Refining - RR3 Shared services invoice for the month of June 2022 Project No.4700014094</t>
  </si>
  <si>
    <t>INV-0674-2022</t>
  </si>
  <si>
    <t>ADNOC Refining - Maintenance of Electrical Transmission at Adnoc Refining - RR3 Shared services invoice for the month of July 2022 Project No.4700014094</t>
  </si>
  <si>
    <t>INV-0679-2022</t>
  </si>
  <si>
    <t>ADNOC Refining - Maintenance of Electrical Transmission at Adnoc Refining - RR3 Shared services invoice for the month of August 2022 Project No.4700014094</t>
  </si>
  <si>
    <t>INV-0658-2022</t>
  </si>
  <si>
    <t>ADNOC Refining - Maintenance of Electrical Transmission at Adnoc Refining - RR2 CBDC Shared services invoice for the month of April 2022 Project No.4700014094</t>
  </si>
  <si>
    <t>INV-0678-2022</t>
  </si>
  <si>
    <t>ADNOC Refining - Maintenance of Electrical Transmission at Adnoc Refining - RR2 CBDC Shared services invoice for the month of August 2022 Project No.4700014094</t>
  </si>
  <si>
    <t>INV-0673-2022</t>
  </si>
  <si>
    <t>ADNOC Refining - Maintenance of Electrical Transmission at Adnoc Refining - RR2 CBDC Shared services invoice for the month of July 2022 Project No.4700014094</t>
  </si>
  <si>
    <t>INV-0668-2022</t>
  </si>
  <si>
    <t>ADNOC Refining - Maintenance of Electrical Transmission at Adnoc Refining - RR2 CBDC Shared services invoice for the month of June 2022 Project No.4700014094</t>
  </si>
  <si>
    <t>INV-0663-2022</t>
  </si>
  <si>
    <t>ADNOC Refining - Maintenance of Electrical Transmission at Adnoc Refining - RR2 CBDC Shared services invoice for the month of May 2022 Project No.4700014094</t>
  </si>
  <si>
    <t>INV-0661-2022</t>
  </si>
  <si>
    <t>ADNOC Refining - Maintenance of Electrical Transmission at Adnoc Refining - RR1 Refinery Shared services invoice for the month of May 2022 Project No.4700014094</t>
  </si>
  <si>
    <t>INV-0666-2022</t>
  </si>
  <si>
    <t>ADNOC Refining - Maintenance of Electrical Transmission at Adnoc Refining - RR1 Refinery Shared services invoice for the month of June 2022 Project No.4700014094</t>
  </si>
  <si>
    <t>INV-0671-2022</t>
  </si>
  <si>
    <t>ADNOC Refining - Maintenance of Electrical Transmission at Adnoc Refining - RR1 Refinery Shared services invoice for the month of July 2022 Project No.4700014094</t>
  </si>
  <si>
    <t>INV-0676-2022</t>
  </si>
  <si>
    <t>ADNOC Refining - Maintenance of Electrical Transmission at Adnoc Refining - RR1 Refinery Shared services invoice for the month of August 2022 Project No.4700014094</t>
  </si>
  <si>
    <t>INV-0677-2022</t>
  </si>
  <si>
    <t>ADNOC Refining - Maintenance of Electrical Transmission at Adnoc Refining - RR1 Utility Shared services invoice for the month of August 2022 Project No.4700014094</t>
  </si>
  <si>
    <t>INV-0672-2022</t>
  </si>
  <si>
    <t>ADNOC Refining - Maintenance of Electrical Transmission at Adnoc Refining - RR1 Utility Shared services invoice for the month of July 2022 Project No.4700014094</t>
  </si>
  <si>
    <t>INV-0667-2022</t>
  </si>
  <si>
    <t>ADNOC Refining - Maintenance of Electrical Transmission at Adnoc Refining - RR1 Utility Shared services invoice for the month of June 2022 Project No.4700014094</t>
  </si>
  <si>
    <t>INV-0662-2022</t>
  </si>
  <si>
    <t>ADNOC Refining - Maintenance of Electrical Transmission at Adnoc Refining - RR1 Utility Shared services invoice for the month of May 2022 Project No.4700014094</t>
  </si>
  <si>
    <t>INV-0657-2022</t>
  </si>
  <si>
    <t>ADNOC Refining - Maintenance of Electrical Transmission at Adnoc Refining - RR1 Utility Shared services invoice for the month of April 2022 Project No.4700014094</t>
  </si>
  <si>
    <t>INV-0654-2022</t>
  </si>
  <si>
    <t>80% of Mobilisation &amp; TSF for Project No. 4700014094 Maintenance of electrical Transmission at Adnoc Refining - RR3 Shared Services</t>
  </si>
  <si>
    <t>INV-0652-2022</t>
  </si>
  <si>
    <t>80% of Mobilisation &amp; TSF for Project No. 4700014094 Maintenance of electrical Transmission at Adnoc Refining - RR1 Utility Shared Services</t>
  </si>
  <si>
    <t>INV-0655-2022</t>
  </si>
  <si>
    <t>80% of Mobilisation &amp; TSF for Project No. 4700014094 Maintenance of electrical Transmission at Adnoc Refining - GUP Shared Services</t>
  </si>
  <si>
    <t>INV-0653-2022</t>
  </si>
  <si>
    <t>80% of Mobilisation &amp; TSF for Project No. 4700014094 Maintenance of electrical Transmission at Adnoc Refining - RR2 CBDC Shared Services</t>
  </si>
  <si>
    <t>INV-0656-2022</t>
  </si>
  <si>
    <t>ADNOC Refining - Maintenance of Electrical Transmission at Adnoc Refining - RR1 Refinery Shared services invoice for the month of April 2022 Project No.4700014094</t>
  </si>
  <si>
    <t>INV-0651-2022</t>
  </si>
  <si>
    <t>80% of Mobillisation &amp; TSF for Project No. 4700014094 Maintenance of electrical Transmission at Adnoc Refining - RR1 Refinery Shared Services</t>
  </si>
  <si>
    <t>INV-0701-2022</t>
  </si>
  <si>
    <t>ADNOC Refining - Maintenance of Electrical Transmission at Adnoc Refining - GUP Shared services invoice for the month of September 2022 Project No.4700014094</t>
  </si>
  <si>
    <t>INV-0705-2022</t>
  </si>
  <si>
    <t>ADNOC Refining - Maintenance of Electrical Transmission at Adnoc Refining - GUP Shared services invoice for the month of October 2022 Project No.4700014094</t>
  </si>
  <si>
    <t>INV-0704-2022</t>
  </si>
  <si>
    <t>ADNOC Refining - Maintenance of Electrical Transmission at Adnoc Refining - RR2 CBDC Shared services invoice for the month of September 2022 Project No.4700014094</t>
  </si>
  <si>
    <t>INV-0719-2022</t>
  </si>
  <si>
    <t>ADNOC Refining - Maintenance of Electrical Transmission at Adnoc Refining - RR1 Utility Shared services invoice for the month of October 2022 Project No.4700014094</t>
  </si>
  <si>
    <t>INV-0720-2022</t>
  </si>
  <si>
    <t>ADNOC Refining - Maintenance of Electrical Transmission at Adnoc Refining - RR1 Refinery Shared services invoice for the month of October 2022 Project No.4700014094</t>
  </si>
  <si>
    <t>INV-0721-2022</t>
  </si>
  <si>
    <t>ADNOC Refining - Maintenance of Electrical Transmission at Adnoc Refining - RR2 CBDC Shared services invoice for the month of October 2022 Project No.4700014094</t>
  </si>
  <si>
    <t>INV-0703-2022</t>
  </si>
  <si>
    <t>ADNOC Refining - Maintenance of Electrical Transmission at Adnoc Refining - RR1 Refinery Shared services invoice for the month of September 2022 Project No.4700014094</t>
  </si>
  <si>
    <t>INV-0702-2022</t>
  </si>
  <si>
    <t>INV-0736-2022</t>
  </si>
  <si>
    <t>ADNOC Refining - Maintenance of Electrical Transmission at Adnoc Refining - GUP Shared services invoice for the month of November 2022 Project No.4700014094</t>
  </si>
  <si>
    <t>INV-0740-2022</t>
  </si>
  <si>
    <t>ADNOC Refining - Maintenance of Electrical Transmission at Adnoc Refining - RR1 Utility Shared services invoice for the month of November 2022 Project No.4700014094</t>
  </si>
  <si>
    <t>INV-0741-2022</t>
  </si>
  <si>
    <t>ADNOC Refining - Maintenance of Electrical Transmission at Adnoc Refining - RR1 Refinery Shared services invoice for the month of November 2022 Project No.4700014094</t>
  </si>
  <si>
    <t>INV-0742-2022</t>
  </si>
  <si>
    <t>ADNOC Refining - Maintenance of Electrical Transmission at Adnoc Refining - RR2 CBDC Shared services invoice for the month of November 2022 Project No.4700014094</t>
  </si>
  <si>
    <t>INV-0756-2023</t>
  </si>
  <si>
    <t>ADNOC Refining - Maintenance of Electrical Transmission at Adnoc Refining - RR3 Shared services invoice for the month of November 2022 Project No.4700014094</t>
  </si>
  <si>
    <t>INV-0755-2023</t>
  </si>
  <si>
    <t>ADNOC Refining - Maintenance of Electrical Transmission at Adnoc Refining - RR3 Shared services invoice for the month of October 2022 Project No.4700014094</t>
  </si>
  <si>
    <t>INV-0754-2023</t>
  </si>
  <si>
    <t>ADNOC Refining - Maintenance of Electrical Transmission at Adnoc Refining - RR3 Shared services invoice for the month of September 2022 Project No.4700014094</t>
  </si>
  <si>
    <t>INV-0761-2023</t>
  </si>
  <si>
    <t>ADNOC Refining - Maintenance of Electrical Transmission at Adnoc Refining - RR2 CBDC Shared services invoice for the month of December 2022 Project No.4700014094</t>
  </si>
  <si>
    <t>INV-0764-2023</t>
  </si>
  <si>
    <t>ADNOC Refining - Maintenance of Electrical Transmission at Adnoc Refining - GUP Shared services invoice for the month of December 2022 Project No.4700014094</t>
  </si>
  <si>
    <t>INV-0770-2023</t>
  </si>
  <si>
    <t>ADNOC Refining - Maintenance of Electrical Transmission at Adnoc Refining - RR3 Shared services invoice for the month of December 2022 Project No.4700014094</t>
  </si>
  <si>
    <t>INV-0759-2023</t>
  </si>
  <si>
    <t>ADNOC Refining - Maintenance of Electrical Transmission at Adnoc Refining - RR1 Utility Shared services invoice for the month of December 2022 Project No.4700014094</t>
  </si>
  <si>
    <t>INV-0760-2023</t>
  </si>
  <si>
    <t>ADNOC Refining - Maintenance of Electrical Transmission at Adnoc Refining - RR1 Refinery Shared services invoice for the month of December 2022 Project No.4700014094</t>
  </si>
  <si>
    <t>INV-0808-2023</t>
  </si>
  <si>
    <t>ADNOC Refining - Maintenance of Electrical Transmission at Adnoc Refining - GUP Shared services invoice for the month of January 2023 Project No.4700014094</t>
  </si>
  <si>
    <t>INV-0809-2023</t>
  </si>
  <si>
    <t>ADNOC Refining - Maintenance of Electrical Transmission at Adnoc Refining - RR2 CBDC Shared services invoice for the month of January 2023 Project No.4700014094</t>
  </si>
  <si>
    <t>INV-0810-2023</t>
  </si>
  <si>
    <t>ADNOC Refining - Maintenance of Electrical Transmission at Adnoc Refining - GUP Shared services invoice for the month of February 2023 Project No.4700014094</t>
  </si>
  <si>
    <t>INV-0811-2023</t>
  </si>
  <si>
    <t>ADNOC Refining - Maintenance of Electrical Transmission at Adnoc Refining - RR2 CBDC Shared services invoice for the month of February 2023 Project No.4700014094</t>
  </si>
  <si>
    <t>INV-0820-2023</t>
  </si>
  <si>
    <t>ADNOC Refining - Maintenance of Electrical Transmission at Adnoc Refining - GUP Shared services invoice for the month of March 2023 Project No.4700014094</t>
  </si>
  <si>
    <t>INV-0822-2023</t>
  </si>
  <si>
    <t>ADNOC Refining - Maintenance of Electrical Transmission at Adnoc Refining - RR2 CBDC Shared services invoice for the month of March 2023 Project No.4700014094</t>
  </si>
  <si>
    <t>INV-0827-2023</t>
  </si>
  <si>
    <t>ADNOC Refining - Maintenance of Electrical Transmission at Adnoc Refining - RR1 Utility Shared services invoice for the month of January 2023 Project No.4700014094</t>
  </si>
  <si>
    <t>INV-0828-2023</t>
  </si>
  <si>
    <t>ADNOC Refining - Maintenance of Electrical Transmission at Adnoc Refining - RR1 Refinery Shared services invoice for the month of January 2023 Project No.4700014094</t>
  </si>
  <si>
    <t>INV-0829-2023</t>
  </si>
  <si>
    <t>ADNOC Refining - Maintenance of Electrical Transmission at Adnoc Refining - RR1 Utility Shared services invoice for the month of February 2023 Project No.4700014094</t>
  </si>
  <si>
    <t>INV-0830-2023</t>
  </si>
  <si>
    <t>ADNOC Refining - Maintenance of Electrical Transmission at Adnoc Refining - RR1 Refinery Shared services invoice for the month of February 2023 Project No.4700014094</t>
  </si>
  <si>
    <t>INV-0831-2023</t>
  </si>
  <si>
    <t>ADNOC Refining - Maintenance of Electrical Transmission at Adnoc Refining - RR1 Utility Shared services invoice for the month of March 2023 Project No.4700014094</t>
  </si>
  <si>
    <t>INV-0832-2023</t>
  </si>
  <si>
    <t>ADNOC Refining - Maintenance of Electrical Transmission at Adnoc Refining - RR1 Refinery Shared services invoice for the month of March 2023 Project No.4700014094</t>
  </si>
  <si>
    <t>INV-0836-2023</t>
  </si>
  <si>
    <t>ADNOC Refining - Maintenance of Electrical Transmission at Adnoc Refining - GUP Shared services invoice for the month of April 2023 Project No.4700014094</t>
  </si>
  <si>
    <t>INV-0839-2023</t>
  </si>
  <si>
    <t>ADNOC Refining - Maintenance of Electrical Transmission at Adnoc Refining - RR2 CBDC Shared services invoice for the month of April 2023 Project No.4700014094</t>
  </si>
  <si>
    <t>INV-0837-2023</t>
  </si>
  <si>
    <t>ADNOC Refining - Maintenance of Electrical Transmission at Adnoc Refining - RR1 Utility Shared services invoice for the month of April 2023 Project No.4700014094</t>
  </si>
  <si>
    <t>INV-0838-2023</t>
  </si>
  <si>
    <t>ADNOC Refining - Maintenance of Electrical Transmission at Adnoc Refining - RR1 Refinery Shared services invoice for the month of April 2023 Project No.4700014094</t>
  </si>
  <si>
    <t>INV-0859-2023</t>
  </si>
  <si>
    <t>ADNOC Refining - Maintenance of Electrical Transmission at Adnoc Refining - GUP Shared services invoice for the month of May 2023 Project No.4700014094</t>
  </si>
  <si>
    <t>INV-0862-2023</t>
  </si>
  <si>
    <t>ADNOC Refining - Maintenance of Electrical Transmission at Adnoc Refining - RR2 CBDC Shared services invoice for the month of May 2023 Project No.4700014094</t>
  </si>
  <si>
    <t>INV-0860-2023</t>
  </si>
  <si>
    <t>ADNOC Refining - Maintenance of Electrical Transmission at Adnoc Refining - RR1 Utility Shared services invoice for the month of May 2023 Project No.4700014094</t>
  </si>
  <si>
    <t>INV-0861-2023</t>
  </si>
  <si>
    <t>ADNOC Refining - Maintenance of Electrical Transmission at Adnoc Refining - RR1 Refinery Shared services invoice for the month of May 2023 Project No.4700014094</t>
  </si>
  <si>
    <t>INV-0888-2023</t>
  </si>
  <si>
    <t>ADNOC Refining - Maintenance of Electrical Transmission at Adnoc Refining - RR2 CBDC Shared services invoice for the month of June 2023 Project No.4700014094</t>
  </si>
  <si>
    <t>INV-0879-2023</t>
  </si>
  <si>
    <t>ADNOC Refining - Maintenance of Electrical Transmission at Adnoc Refining - GUP Shared services invoice for the month of June 2023 Project No.4700014094</t>
  </si>
  <si>
    <t>INV-0886-2023</t>
  </si>
  <si>
    <t>ADNOC Refining - Maintenance of Electrical Transmission at Adnoc Refining - RR1 Utility Shared services invoice for the month of June 2023 Project No.4700014094</t>
  </si>
  <si>
    <t>INV-0887-2023</t>
  </si>
  <si>
    <t>ADNOC Refining - Maintenance of Electrical Transmission at Adnoc Refining - RR1 Refinery Shared services invoice for the month of June 2023 Project No.4700014094</t>
  </si>
  <si>
    <t>INV-0898-2023</t>
  </si>
  <si>
    <t>ADNOC Refining - Maintenance of Electrical Transmission at Adnoc Refining - RR1 Utility Shared services invoice for the month of July 2023 Project No.4700014094</t>
  </si>
  <si>
    <t>INV-0899-2023</t>
  </si>
  <si>
    <t>ADNOC Refining - Maintenance of Electrical Transmission at Adnoc Refining - RR1 Refinery Shared services invoice for the month of July 2023 Project No.4700014094</t>
  </si>
  <si>
    <t>INV-0900-2023</t>
  </si>
  <si>
    <t>ADNOC Refining - Maintenance of Electrical Transmission at Adnoc Refining - RR2 CBDC Shared services invoice for the month of July 2023 Project No.4700014094</t>
  </si>
  <si>
    <t>INV-0880-2023</t>
  </si>
  <si>
    <t>ADNOC Refining - Maintenance of Electrical Transmission at Adnoc Refining - RR3 Shared services invoice for the month of January 2023 Project No.4700014094</t>
  </si>
  <si>
    <t>INV-0881-2023</t>
  </si>
  <si>
    <t>ADNOC Refining - Maintenance of Electrical Transmission at Adnoc Refining - RR3 Shared services invoice for the month of February 2023 Project No.4700014094</t>
  </si>
  <si>
    <t>INV-0882-2023</t>
  </si>
  <si>
    <t>ADNOC Refining - Maintenance of Electrical Transmission at Adnoc Refining - RR3 Shared services invoice for the month of March 2023 Project No.4700014094</t>
  </si>
  <si>
    <t>INV-0883-2023</t>
  </si>
  <si>
    <t>ADNOC Refining - Maintenance of Electrical Transmission at Adnoc Refining - RR3 Shared services invoice for the month of April 2023 Project No.4700014094</t>
  </si>
  <si>
    <t>INV-0884-2023</t>
  </si>
  <si>
    <t>ADNOC Refining - Maintenance of Electrical Transmission at Adnoc Refining - RR3 Shared services invoice for the month of May 2023 Project No.4700014094</t>
  </si>
  <si>
    <t>INV-0885-2023</t>
  </si>
  <si>
    <t>ADNOC Refining - Maintenance of Electrical Transmission at Adnoc Refining - RR3 Shared services invoice for the month of June 2023 Project No.4700014094</t>
  </si>
  <si>
    <t>INV-0910-2023</t>
  </si>
  <si>
    <t>ADNOC Refining - Maintenance of Electrical Transmission at Adnoc Refining - RR3 Shared services invoice for the month of July 2023 Project No.4700014094</t>
  </si>
  <si>
    <t>INV-0918-2023</t>
  </si>
  <si>
    <t>ADNOC Refining - Maintenance of Electrical Transmission at Adnoc Refining - RR3 Shared services invoice for the month of August 2023 Project No.4700014094</t>
  </si>
  <si>
    <t>INV-0922-2023</t>
  </si>
  <si>
    <t>ADNOC Refining - Maintenance of Electrical Transmission at Adnoc Refining - RR1 Utility Shared services invoice for the month of August 2023 Project No.4700014094</t>
  </si>
  <si>
    <t>INV-0923-2023</t>
  </si>
  <si>
    <t>ADNOC Refining - Maintenance of Electrical Transmission at Adnoc Refining - RR1 Refinery Shared services invoice for the month of August 2023 Project No.4700014094</t>
  </si>
  <si>
    <t>INV-0938-2023</t>
  </si>
  <si>
    <t>ADNOC Refining - Maintenance of Electrical Transmission at Adnoc Refining - RR1 Utility Shared services invoice for the month of September 2023 Project No.4700014094</t>
  </si>
  <si>
    <t>INV-0939-2023</t>
  </si>
  <si>
    <t>ADNOC Refining - Maintenance of Electrical Transmission at Adnoc Refining - RR1 Refinery Shared services invoice for the month of September 2023 Project No.4700014094</t>
  </si>
  <si>
    <t>INV-0905-2023</t>
  </si>
  <si>
    <t>ADNOC Refining - Maintenance of Electrical Transmission at Adnoc Refining - GUP Shared services invoice for the month of July 2023 Project No.4700014094</t>
  </si>
  <si>
    <t>INV-0917-2023</t>
  </si>
  <si>
    <t>ADNOC Refining - Maintenance of Electrical Transmission at Adnoc Refining - GUP Shared services invoice for the month of August 2023 Project No.4700014094</t>
  </si>
  <si>
    <t>INV-0943-2023</t>
  </si>
  <si>
    <t>ADNOC Refining - Maintenance of Electrical Transmission at Adnoc Refining - GUP Shared services invoice for the month of September 2023 Project No.4700014094</t>
  </si>
  <si>
    <t>INV-0962-2023</t>
  </si>
  <si>
    <t>Adnoc Refining - Maintenance Of Electrical Transmission at Adnoc Refining - GUP Shared Services for the month of October 2023 Project No 4700014094</t>
  </si>
  <si>
    <t>INV-0970-2023</t>
  </si>
  <si>
    <t>ADNOC Refining - Maintenance of Electrical Transmission at Adnoc Refining - GUP Shared Services for the month of November 2023 project 4700014094</t>
  </si>
  <si>
    <t>INV-0933-2023</t>
  </si>
  <si>
    <t>Adnoc Refining - Maintenance of Electrical Transmission at Adnoc Refining -RR1 Utility shared services invoice for the month of October 2023 project no 4700014094</t>
  </si>
  <si>
    <t>INV-0953-2023</t>
  </si>
  <si>
    <t>Adnoc Refining - Maintenance of Electrical Transmission at Adnoc Refining - RR1 Refinery Shared services invoice for the month of October 2023 - Project no 4700014094</t>
  </si>
  <si>
    <t>INV-0974-2023</t>
  </si>
  <si>
    <t>Adnoc Refining - Maintenance of Electrical Transmission at Adnoc Refining - RR1 Refinery shared services invoice for the month of November 2023 - Project no 4700014094</t>
  </si>
  <si>
    <t>INV-0975-2023</t>
  </si>
  <si>
    <t>Adnoc Refining - Maintenance of Electrical Transmission at Adnoc Refining - RR1 Utility Shared Services invoice for the month of November 2023 - Project no 4700014094</t>
  </si>
  <si>
    <t>Security System Maintenance for the month of November 2023</t>
  </si>
  <si>
    <t>INV-0966-2023</t>
  </si>
  <si>
    <t>Abu Dhabi Gas Development Co. Ltd(Sour Gas)</t>
  </si>
  <si>
    <t>Security System Maintenance for the month of October 2023</t>
  </si>
  <si>
    <t>INV-0929-2023</t>
  </si>
  <si>
    <t>Security system Maintenance for the Month of September 2023</t>
  </si>
  <si>
    <t>INV-0928-2023</t>
  </si>
  <si>
    <t>Security system Maintenance for the month of August 2023</t>
  </si>
  <si>
    <t>INV-0915-2023</t>
  </si>
  <si>
    <t>Security System Maintenance for the month of July 2023</t>
  </si>
  <si>
    <t>INV-0896-2023</t>
  </si>
  <si>
    <t>Security System Maintenance for the month of May 2023</t>
  </si>
  <si>
    <t>INV-0857-2023</t>
  </si>
  <si>
    <t>Security System Maintenance for the month of June 2023</t>
  </si>
  <si>
    <t>INV-0869-2023</t>
  </si>
  <si>
    <t>Security System Maintenance for the month of April 2023</t>
  </si>
  <si>
    <t>INV-0833-2023</t>
  </si>
  <si>
    <t>Security System Maintenance for the month of March 2023</t>
  </si>
  <si>
    <t>INV-0819-2023</t>
  </si>
  <si>
    <t>Security System Maintenance payment received from adnoc</t>
  </si>
  <si>
    <t>68</t>
  </si>
  <si>
    <t>Security System Maintenance addittional order no.4200201393 Ref No.4700002108</t>
  </si>
  <si>
    <t>INV-0813-2023</t>
  </si>
  <si>
    <t>54</t>
  </si>
  <si>
    <t>Security System Maintenance for the month of February 2023</t>
  </si>
  <si>
    <t>INV-0796-2023</t>
  </si>
  <si>
    <t>Security System Maintenance for the month of January 2023</t>
  </si>
  <si>
    <t>INV-0783-2023</t>
  </si>
  <si>
    <t>Security System Maintenance for the month of December 2022</t>
  </si>
  <si>
    <t>28</t>
  </si>
  <si>
    <t>INV-0758-2023</t>
  </si>
  <si>
    <t>Security System Maintenance for the month of November 2022</t>
  </si>
  <si>
    <t>INV-0732-2022</t>
  </si>
  <si>
    <t>Security System Maintenance for the month of August,September &amp; October 2022</t>
  </si>
  <si>
    <t>INV-0708-2022</t>
  </si>
  <si>
    <t>Security System Maintenance for the month of July 2022</t>
  </si>
  <si>
    <t>INV-0641-2022</t>
  </si>
  <si>
    <t>Security System Maintenance for the Month of May 2022</t>
  </si>
  <si>
    <t>INV-0622-2022</t>
  </si>
  <si>
    <t>Security System Maintenance for the Month of June 2022</t>
  </si>
  <si>
    <t>INV-0631-2022</t>
  </si>
  <si>
    <t>ADNOC Sour Gas - 5% ICV Retention</t>
  </si>
  <si>
    <t>Abu Dhabi Gas Development Co. Ltd</t>
  </si>
  <si>
    <t>3rd invoice as per attached measurement sheet</t>
  </si>
  <si>
    <t>INV-0969-2023</t>
  </si>
  <si>
    <t>ADNOC Gas Operations &amp; Marketing LLC</t>
  </si>
  <si>
    <t>payment received</t>
  </si>
  <si>
    <t>198</t>
  </si>
  <si>
    <t>2nd invoice as per attached measurement sheet</t>
  </si>
  <si>
    <t>INV-0945-2023</t>
  </si>
  <si>
    <t>being payment received via bank transfer</t>
  </si>
  <si>
    <t>178</t>
  </si>
  <si>
    <t>Billing as per attached measurement sheetr</t>
  </si>
  <si>
    <t>INV-0901-2023</t>
  </si>
  <si>
    <t>Adnoc industrial gases (Mirfa Busduct) - 5% ICV Retention without VAT 5%</t>
  </si>
  <si>
    <t>1-Jan-2023 to 31-Dec-2023</t>
  </si>
  <si>
    <t>HV Cable Termination &amp; Testing Works for May 2023 - UPCMS-0534</t>
  </si>
  <si>
    <t>INV-0907-2023</t>
  </si>
  <si>
    <t>Sicon Oil &amp; Gas S.P.A.</t>
  </si>
  <si>
    <t>INV-0863-2023</t>
  </si>
  <si>
    <t>HV Cable Termination &amp; Testing Works for April 2023 - UPCMS-0534</t>
  </si>
  <si>
    <t>INV-0834-2023</t>
  </si>
  <si>
    <t>HV Cable Termination &amp; Testing Works for March 2023 - UPCMS-0534</t>
  </si>
  <si>
    <t>INV-0807-2023</t>
  </si>
  <si>
    <t>HV Cable Termination &amp; Testing Works: Idle Days Charges for Testing Engineer,Cable Jointer,Technicians &amp; Testing Kits - UPCMS-0534</t>
  </si>
  <si>
    <t>INV-0805-2023</t>
  </si>
  <si>
    <t>HV Cable Termination &amp; Testing Works for February 2023 - UPCMS-0534</t>
  </si>
  <si>
    <t>INV-0794-2023</t>
  </si>
  <si>
    <t>HV Cable Termination &amp; Testing Works: Idle Days Charges for Cable jointer - UPCMS-0534</t>
  </si>
  <si>
    <t>INV-0729-2022</t>
  </si>
  <si>
    <t>HV Cable Termination &amp; Testing Works for November 2022 - UPCMS-0534</t>
  </si>
  <si>
    <t>INV-0728-2022</t>
  </si>
  <si>
    <t>HV Cable Termination &amp; Testing Works - 20% Advance Payment Against PO.No.0534</t>
  </si>
  <si>
    <t>INV-0716-2022</t>
  </si>
  <si>
    <t>Advance Payment - Sicon Oil - 0534</t>
  </si>
  <si>
    <t>Advance Payment - Sicon Oil - 0536</t>
  </si>
  <si>
    <t>TRN : 100290389400003</t>
  </si>
  <si>
    <t>Mechanical Maintenance Works at Various Adnoc Distribution Facilities Across UAE - Supply of Electrical Items ( PO - 4700016691 - RFT - 6000036285)</t>
  </si>
  <si>
    <t>INV-0965-2023</t>
  </si>
  <si>
    <t>ADNOC DISTRIBUTION PJSC</t>
  </si>
  <si>
    <t>Mechanical Maintenance Contract - Underground GRE Piping leak Repair - PO.NO.4700016691 RFT no.6000036285</t>
  </si>
  <si>
    <t>INV-0927-2023</t>
  </si>
  <si>
    <t>Mechanical Maintenance Contract Firefighting leak repair emergency works - PO.NO.4700016691 RFT no.6000036285</t>
  </si>
  <si>
    <t>INV-0814-2023</t>
  </si>
  <si>
    <t>ADNOC Distribution - ICV loss/Gain-5% without VAT</t>
  </si>
  <si>
    <t>ADNOC Civil &amp; Electrical- ICV loss/Gain-5% without VAT</t>
  </si>
  <si>
    <t>ADNOC Civil &amp; Electrical- ICV loss/Gain-5% with vat</t>
  </si>
  <si>
    <t>Adnoc Distribution - uPS Maintenance ICV 5% Retention</t>
  </si>
  <si>
    <t>ADNOC Distribution - ICV loss/Gain-5% with vat</t>
  </si>
  <si>
    <t>1-Jan-2021 to 31-Dec-2023</t>
  </si>
  <si>
    <t>INV-0868-2023</t>
  </si>
  <si>
    <t>Support Services for Maintenance Activities of Soot Blowers in RFCC Unit at Ruwais Refinery - 1 Mobilization, March 2023,April 2023 &amp; May 2023 Project No: 4700017302</t>
  </si>
  <si>
    <t>INV-0876-2023</t>
  </si>
  <si>
    <t>Support Services for Maintenance Activities of Soot Blowers in RFCC Unit at Ruwais Refinery - June &amp; July 2023 Project No: 4700017302</t>
  </si>
  <si>
    <t>INV-0924-2023</t>
  </si>
  <si>
    <t>Support Services for Maintenance Activities of Soot Blowers in RFCC Unit at Ruwais Refinery - August 2023 Project No: 4700017302</t>
  </si>
  <si>
    <t>INV-0940-2023</t>
  </si>
  <si>
    <t>Support Services for Maintenance Activities of Soot Blowers in RFCC Unit at Ruwais Refinery - 1- September 2023 Project No 4700017302</t>
  </si>
  <si>
    <t>INV-0955-2023</t>
  </si>
  <si>
    <t>Support Services for Maintenance Activities of Soot Blowers in RFCC Unit at Ruwais Refinery -1- October 2023 Project No - 4700017302</t>
  </si>
  <si>
    <t>General Maintenance Civil Works at  Adnoc Facilities Across Abudhabi, Al Ain and Al Dhafra regions (contract no - 4700017863) Capex 2023 Work: Fabricate, Supply and Installation of Crash Guard Inside LPG plant Zaker terminal</t>
  </si>
  <si>
    <t>INV-0990-2023</t>
  </si>
  <si>
    <t>General Maintenance - Civil Works at ADNOC Facilities - ENOC Defense Project - Renovation Work Location - SS 943 - Portal PO - 4200374965</t>
  </si>
  <si>
    <t>INV-0932-2023</t>
  </si>
  <si>
    <t>General Maintenance - Civil Works at ADNOC Facilities - Supply of Tube Lights - Portal po.4200387898</t>
  </si>
  <si>
    <t>INV-0931-2023</t>
  </si>
  <si>
    <t>General Maintenance - Civil Works at ADNOC Facilities - ENOC Defense Project - Renovation Work Location - SS 990 TAWAM - Portal Po - 4200373525</t>
  </si>
  <si>
    <t>INV-0949-2023</t>
  </si>
  <si>
    <t>General Maintenance - Civil Works at ADNOC Facilities - ENOC Defense Project - Renovation Work Location - SS 250 Shaib Al Ashker - Portal Po - 4200373541</t>
  </si>
  <si>
    <t>INV-0948-2023</t>
  </si>
  <si>
    <t>General Maintenance - Civil Works at ADNOC Facilities - SS 947 Repainting of C-Store Building Including Tenant's Area WO-310000917714 - Portal Po - 4200384724</t>
  </si>
  <si>
    <t>INV-0944-2023</t>
  </si>
  <si>
    <t>General Maintenance - Civil Works at ADNOC Facilities - Fabricate,Supply and Installation of Car Parking Shed -  MPD Zaker Terminal - Portal Po No.4200370976</t>
  </si>
  <si>
    <t>INV-0941-2023</t>
  </si>
  <si>
    <t>General Maintenance - Civil Works at ADNOC Facilities - Repair Cost for Steel Post Bar at OTG-250 - Portal Po. 4200367885</t>
  </si>
  <si>
    <t>INV-0911-2023</t>
  </si>
  <si>
    <t>General Maintenance - Civil Works at ADNOC Facilities - SS-947 Masjid Paint Work- Portal PO No.4200366261</t>
  </si>
  <si>
    <t>INV-0925-2023</t>
  </si>
  <si>
    <t>General Maintenance - Civil Works at ADNOC Facilities - Repair Cost for Toilet Door Damage at SS 449 - Portal PO No.4200373357</t>
  </si>
  <si>
    <t>INV-0912-2023</t>
  </si>
  <si>
    <t>General Maintenance - Civil Works at ADNOC Facilities - Repair Cost for Toilet Door Damage at SS 450 - Portal PO No.4200374452</t>
  </si>
  <si>
    <t>INV-0926-2023</t>
  </si>
  <si>
    <t>Adnoc Gas Processing - Cathodic Protection Digitilisation - pilot project - ENE PO no ENE-ENGG-1218-2023</t>
  </si>
  <si>
    <t>INV-0961-2023</t>
  </si>
  <si>
    <t>Emirates National Construction &amp; Projects Management Establishment - Debtors</t>
  </si>
  <si>
    <t>1-Oct-2023 to 31-Oct-2023</t>
  </si>
  <si>
    <t>Technical Services Agreement (Call off) for (Service Agreement for UPS Maintenance) Reference Number RFT 6000050377: PO No: 4700018052 - Corrective Maintenance &amp; Preventive Maintenance</t>
  </si>
  <si>
    <t>INV-0981-2023</t>
  </si>
  <si>
    <t>Technical Services Agreement (call off) for (service agreement for UPS Maintenance) Reference Number RFT 6000050377, Agreement Number:4700018052 - Dubai Region Preventive maintenance</t>
  </si>
  <si>
    <t>INV-0992-2023</t>
  </si>
  <si>
    <t>Technical Services Agreement (Call Off) for (Service Agreement for UPS Maintenance) Reference Number RFT 6000050377 - Fan Replacement Kit &amp; Inspection and Repair Charges</t>
  </si>
  <si>
    <t>INV-0956-2023</t>
  </si>
  <si>
    <t>Technical Services Agreement (Call off) for Service agreement for UPS Maintenance reference number RFT : 6000050377 - Item 2.2 Supply,Intsallation &amp; Commissioning | Item 3 Preventive Maintenance associated assesment .</t>
  </si>
  <si>
    <t>INV-0890-2023</t>
  </si>
  <si>
    <t>Supply of Electrical Technician (With com Ex/Iec - Ex Certification) &amp; Electrical Helper for the Month of November 2023 -  Hareesh Murali, Bajnath Yadav, Ihtesham, Arun Kumar Navik  &amp; Team of 1 Electrical Technician + 1 Electrical Helper (Duration up up to 3 hours)</t>
  </si>
  <si>
    <t>INV-0977-2023</t>
  </si>
  <si>
    <t>Magma Waste Treatment Services- Sole ProprietorshipLLC</t>
  </si>
  <si>
    <t>Supply of Electrical Technician(With Com Ex/Iec-Ex Certification) &amp; Electrical Helper for the Month of October 2023 - Hareesh Murali,Bajnath Yadav,Ihtesham,Arun Kumar Navik &amp; Team of 1 Electrical + 1 Electrical Helper(Duration upto 3 hrs)- 5 call</t>
  </si>
  <si>
    <t>INV-0952-2023</t>
  </si>
  <si>
    <t>Supply of Electrical Technician(With Com Ex/Iec-Ex Certification) &amp; Electrical Helper for the Month of September 2023 - Hareesh Murali,Bajnath Yadav,Ihtesham,Arun Kumar Navik &amp; Team of 1 Electrical + 1 Electrical Helper(Duration upto 3 hrs)- 3 call</t>
  </si>
  <si>
    <t>INV-0936-2023</t>
  </si>
  <si>
    <t>Supply of Electrical Technician(With Com Ex/Iec-Ex Certification) &amp; Electrical Helper for the Month of August 2023 - Hareesh Murali,Bajnath Yadav,Ihtesham,Arun Kumar Navik</t>
  </si>
  <si>
    <t>INV-0919-2023</t>
  </si>
  <si>
    <t>Supply of Electrical Technician(With Com Ex/Iec-Ex Certification) &amp; Electrical Helper for the Month of July 2023 - Hareesh Murali,Bajnath Yadav,Ihtesham,Arun Kumar Navik</t>
  </si>
  <si>
    <t>INV-0902-2023</t>
  </si>
  <si>
    <t>Supply of Electrical Technician(With Com Ex/Iec-Ex Certification) &amp; Electrical Helper for the Month of June 2023 - Hareesh Murali,Bajnath Yadav,Ihtesham,Arun Kumar Navik</t>
  </si>
  <si>
    <t>INV-0897-2023</t>
  </si>
  <si>
    <t>TRN : 104068295500003</t>
  </si>
  <si>
    <t>INV-0959-2023</t>
  </si>
  <si>
    <t>Supply of Transformer spare parts - Purchase order: 4500066384</t>
  </si>
  <si>
    <t>Being Payment received agst invoice - INV-0913-2023 ATS Panel repair</t>
  </si>
  <si>
    <t>162</t>
  </si>
  <si>
    <t>ATS Panel Repair - Ref No. RFT 6000056825 - Po No.4700018509</t>
  </si>
  <si>
    <t>INV-0913-2023</t>
  </si>
  <si>
    <t>Instrument &amp; Control System Maintenance - October 2023</t>
  </si>
  <si>
    <t>INV-0950-2023</t>
  </si>
  <si>
    <t>Instrument &amp; Control System Maintenance - September 2023</t>
  </si>
  <si>
    <t>INV-0935-2023</t>
  </si>
  <si>
    <t>Instrument &amp; Control System Maintenance - August 2023</t>
  </si>
  <si>
    <t>INV-0914-2023</t>
  </si>
  <si>
    <t>INV-0971-2023</t>
  </si>
  <si>
    <t>Replacement of Old Battery banks of 110V DC UPS systems - 4700018137</t>
  </si>
  <si>
    <t>Electrical Predictive Maintenance Activities (PDM) Service contract for Adnoc Refining sites RR1,RR2,RR3,GUP,P &amp; TOD Tender No: 6000048802, Agreement no: 4700021039 - Electrical PDM Activities RR1 -2023</t>
  </si>
  <si>
    <t>INV-0978-2023</t>
  </si>
  <si>
    <t>ADNOC Refining - AB PLC's Upgrade for RR3 Jetty Berths - E</t>
  </si>
  <si>
    <t>INV-0973-2023</t>
  </si>
  <si>
    <t>ADNOC Refining - AB PLC's Upgrade for RR3 Jetty Berths - B</t>
  </si>
  <si>
    <t>INV-0972-2023</t>
  </si>
  <si>
    <t>Replacement and Installation of Solar Array Junction boxes in 20 gas wells at GAS BAB (Agreement no - 4700018964) - Installation and Commissioning of Solar arrays in gas wells including dismantle and removal of existing solar arrays from the site</t>
  </si>
  <si>
    <t>INV-0994-2023</t>
  </si>
  <si>
    <t>Abu Dhabi Company for On Shore Petroleum Operations</t>
  </si>
  <si>
    <t>Supply of solar array panels,solar array junction box,etc 20 GAS</t>
  </si>
  <si>
    <t>INV-0958-2023</t>
  </si>
  <si>
    <t>ADNOC Onshore - ICV loss/Gain-5% without VAT</t>
  </si>
  <si>
    <t>Revamping of Flow Line instruments and Annulus Pressure Monitoring at GAS BAB - Agreement No: 4700019031 -Installation of Pressure Transmitter (69 Nos) as per item no.3.1, Work category -2</t>
  </si>
  <si>
    <t>INV-0987-2023</t>
  </si>
  <si>
    <t>Revamping of Flow line instruments and Annulus Pressure Monitoring at GAS - BAB -Agreement No : 4700019031 - Installation of pressure Transmitter (69 Nos) as per item no 3.1, Work Category -2</t>
  </si>
  <si>
    <t>INV-0986-2023</t>
  </si>
  <si>
    <t>Abu Dhabi Polymer Co. Ltd. (Borouge) LLC</t>
  </si>
  <si>
    <t>VAT 5%</t>
  </si>
  <si>
    <t>Analyzer (TOC) - Hemera</t>
  </si>
  <si>
    <t>Exchange Rate P/L</t>
  </si>
  <si>
    <t>Borouge - ICV loss/Gain-5% with vat</t>
  </si>
  <si>
    <t>INV-0951-2023</t>
  </si>
  <si>
    <t>BIC Building CCTV Upgradation - Mobilization 20% of Contract value Aed 779000)</t>
  </si>
  <si>
    <t>INV-0960-2023</t>
  </si>
  <si>
    <t>BIC Building CCTV Upgradation - Mobilization 30% of Contract value Aed 779000</t>
  </si>
  <si>
    <t>INV-0979-2023</t>
  </si>
  <si>
    <t>BIC Building CCTV Upgradation -Material Delivery Completion (20% of contract value Aed 779000</t>
  </si>
  <si>
    <t>Technical Services Agreement (Call -off) for the Design and Supply of Thermowell H-5 Reference number - 4700021309 -Upon Completion of KOM &amp; Finalisation of Design Consultant and provide unpriced PO -Budget milestone -10.9%</t>
  </si>
  <si>
    <t>INV-0988-2023</t>
  </si>
  <si>
    <t>ADNOC Thermowell - 5% ICV RETENTION</t>
  </si>
  <si>
    <t>Supply of Technician for the month of November 2023 - Avadesh Vishwakarma, Raksha yadav &amp; Yogendra bahadoor</t>
  </si>
  <si>
    <t>INV-0968-2023</t>
  </si>
  <si>
    <t>M/s WISON ENERGY ENGINEERING (HONG KONG) LTD</t>
  </si>
  <si>
    <t>Supply of Technician for the month of October 2023- Avadesh Vishwakarma &amp; Raksha Yadav</t>
  </si>
  <si>
    <t>INV-0930-2023</t>
  </si>
  <si>
    <t>Supply of Technician for the month of September 2023- Shashi Bushan, Avadesh Vishwakarma,Raksha Yadav, Santhosh Kumar Sharma &amp; Vinay Singh</t>
  </si>
  <si>
    <t>INV-0934-2023</t>
  </si>
  <si>
    <t>being payment received from wison energy</t>
  </si>
  <si>
    <t>161</t>
  </si>
  <si>
    <t>Supply of Technician for the month of August 2023- Shashi Bushan, Avadesh Vishwakarma,Raksha Yadav &amp; Santhosh Kumar Sharma</t>
  </si>
  <si>
    <t>INV-0916-2023</t>
  </si>
  <si>
    <t>Supply of Technician for the month of July 2023- Shashi Bushan, Avadesh Vishwakarma,Raksha Yadav &amp; Santhosh Kumar Sharma</t>
  </si>
  <si>
    <t>INV-0903-2023</t>
  </si>
  <si>
    <t>Being Payment received from Wison against invoices no. INV-0798-2023,INV-0821-2023,INV-0835-2023 &amp; INV-0858-2023 on 17.07.2023</t>
  </si>
  <si>
    <t>122</t>
  </si>
  <si>
    <t>Supply of Technician for the month of June 2023- Shashi Bushan, Avadesh Vishwakarma</t>
  </si>
  <si>
    <t>INV-0872-2023</t>
  </si>
  <si>
    <t>Supply of Technician for the month of May 2023- Shashi Bushan, Avadesh Vishwakarma</t>
  </si>
  <si>
    <t>INV-0858-2023</t>
  </si>
  <si>
    <t>Supply of Technician for the month of April 2023- Shashi Bushan, Avadesh Vishwakarma</t>
  </si>
  <si>
    <t>INV-0835-2023</t>
  </si>
  <si>
    <t>Supply of Technician for the month of March 2023- Shashi Bushan, Avadesh Vishwakarma, Raksha Yadav &amp; Santosh Kumar sharma</t>
  </si>
  <si>
    <t>INV-0821-2023</t>
  </si>
  <si>
    <t>being amount received via bank transfer</t>
  </si>
  <si>
    <t>65</t>
  </si>
  <si>
    <t>Supply of Technician for the month of Feb 2023- Shashi Bushan, Avadesh Vishwakarma, Raksha Yadav &amp; Santosh Kumar sharma</t>
  </si>
  <si>
    <t>INV-0798-2023</t>
  </si>
  <si>
    <t>Supply of Technician for the month of Jan 2023- Shashi Bushan, Avadesh Vishwakarma, Raksha Yadav &amp; Santosh Kumar sharma</t>
  </si>
  <si>
    <t>INV-0784-2023</t>
  </si>
  <si>
    <t>Supply of Technician for the month of Dec 2022- Shashi Bushan, Avadesh Vishwakarma, Raksha Yadav &amp; Santosh Kumar sharma</t>
  </si>
  <si>
    <t>INV-0762-2023</t>
  </si>
  <si>
    <t>172</t>
  </si>
  <si>
    <t>Supply of Technician for the month of Nov 2022- Shashi Bushan, Avadesh Vishwakarma, Raksha Yadav &amp; Santosh Kumar sharma</t>
  </si>
  <si>
    <t>INV-0737-2022</t>
  </si>
  <si>
    <t>Supply of Technician for the month of Oct 2022- Shashi Bushan &amp; Avadesh Vishwakarma</t>
  </si>
  <si>
    <t>INV-0722-2022</t>
  </si>
  <si>
    <t>payment received agst Supply of Technician for the Month of aug 2022</t>
  </si>
  <si>
    <t>144</t>
  </si>
  <si>
    <t>Supply of Technician for the Month of Sep 2022 (Shshi Bushan&amp; Avadhesh)</t>
  </si>
  <si>
    <t>INV-0697-2022</t>
  </si>
  <si>
    <t>Supply of Technician for the Month of Aug 2022 (Shshi Bushan)</t>
  </si>
  <si>
    <t>INV-0682-2022</t>
  </si>
  <si>
    <t>Being Payment received against July month Manpower Supply (INV-0645-2022)</t>
  </si>
  <si>
    <t>100</t>
  </si>
  <si>
    <t>Supply of Technician for the month of July 22  - (Sashi Bushan )</t>
  </si>
  <si>
    <t>INV-0645-2022</t>
  </si>
  <si>
    <t>payment received from wison via bank transfer</t>
  </si>
  <si>
    <t>84</t>
  </si>
  <si>
    <t>Supply of Technician for the month of June 22  - (Sashi Bushan )</t>
  </si>
  <si>
    <t>INV-0634-2022</t>
  </si>
  <si>
    <t>82</t>
  </si>
  <si>
    <t>Supply of Technician for the month of May 2022 - Shashi Bhushan &amp; Atul Kumar</t>
  </si>
  <si>
    <t>INV-0623-2022</t>
  </si>
  <si>
    <t>Supply of Technician for the Month of April 22 - Sashi Bushan &amp; Atul Kumar</t>
  </si>
  <si>
    <t>INV-0617-2022</t>
  </si>
  <si>
    <t>Supply of Technician for the Month of March 22 ( Reterminati Work) - Kashif &amp; Vijay Sah</t>
  </si>
  <si>
    <t>INV-0616-2022</t>
  </si>
  <si>
    <t>Supply of Technician for the month of March 2022 - Sashi Bushan &amp; Atul Kumar</t>
  </si>
  <si>
    <t>INV-0612-2022</t>
  </si>
  <si>
    <t>Supply of Technician for the month of Nov 2021 to Feb 2022 (Re Work ) Kashif &amp; Vijay Sah</t>
  </si>
  <si>
    <t>INV-0611-2022</t>
  </si>
  <si>
    <t>46</t>
  </si>
  <si>
    <t>Supply of Technician for the month of Feb 2022 - Sanjeev Yadav &amp; Saquib Ali</t>
  </si>
  <si>
    <t>INV-0593-2022</t>
  </si>
  <si>
    <t>being payment received via bank transfer from Wison Energy eng</t>
  </si>
  <si>
    <t>29</t>
  </si>
  <si>
    <t>Technician supply from Jan 22- sanjay and imran -SS107- Energisation (Day Work &amp; Night Work)</t>
  </si>
  <si>
    <t>INV-0583-2022</t>
  </si>
  <si>
    <t>13</t>
  </si>
  <si>
    <t>Technician supply from 06.12.2021 to 31.12.2021 - sanjay and imran -SS107- Energisation (Night Work)</t>
  </si>
  <si>
    <t>INV-0563-2022</t>
  </si>
  <si>
    <t>1-Jan-2020 to 31-Dec-2023</t>
  </si>
  <si>
    <t>TRN : 100267824900003</t>
  </si>
  <si>
    <t>Agreement No</t>
  </si>
  <si>
    <t>INV-0717-2022</t>
  </si>
  <si>
    <t>HV Cable Termination &amp; Testing Works - 20% Advance Payment against PO.0536</t>
  </si>
  <si>
    <t>INV-0724-2022</t>
  </si>
  <si>
    <t>Testing of Small Power Distribution Boards - UPCMS - 0539</t>
  </si>
  <si>
    <t>INV-0727-2022</t>
  </si>
  <si>
    <t>HV Cable Termination &amp; Testing Works for November 2022 - UPCMS-0536</t>
  </si>
  <si>
    <t>INV-0734-2022</t>
  </si>
  <si>
    <t>110V DC Source - UPCMS - 0547</t>
  </si>
  <si>
    <t>154</t>
  </si>
  <si>
    <t>being payment received via bank transfer - Entry booked as per bank stmt</t>
  </si>
  <si>
    <t>19</t>
  </si>
  <si>
    <t>INV-0789-2023</t>
  </si>
  <si>
    <t>110V DC Source(0-110V) - Period: 30.12.2022 to 29.01.2023 - Sicon - UPCMS -0547</t>
  </si>
  <si>
    <t>INV-0790-2023</t>
  </si>
  <si>
    <t>110V DC Source(0-110V) - Period: 30.01.2023 TO 28.02.2023 - Sicon - UPCMS -0547</t>
  </si>
  <si>
    <t>INV-0793-2023</t>
  </si>
  <si>
    <t>INV-0797-2023</t>
  </si>
  <si>
    <t>OTDR Testing with splicing for 24 core cable - Sicon - UPCMS - 0579</t>
  </si>
  <si>
    <t>53</t>
  </si>
  <si>
    <t>INV-0806-2023</t>
  </si>
  <si>
    <t>HV Cable Termination &amp; Testing Works for March 2023 - UPCMS-0536</t>
  </si>
  <si>
    <t>73</t>
  </si>
  <si>
    <t>being partial payment received from sicon on 24.04.2023</t>
  </si>
  <si>
    <t>INV-0843-2023</t>
  </si>
  <si>
    <t>HV Cable Termination &amp; Testing Works for May 2023 - UPCMS-0536</t>
  </si>
  <si>
    <t>INV-0844-2023</t>
  </si>
  <si>
    <t>OTDR Testing with splicing for 24 core cable(1 Idle day claiming against mobilization of FO team with CICPA Pass) - Sicon - UPCMS - 0579</t>
  </si>
  <si>
    <t>INV-0847-2023</t>
  </si>
  <si>
    <t>110V DC Source(0-110V) - Period: 26.04.2023 TO 26.05.2023 - Sicon - UPCMS -0547</t>
  </si>
  <si>
    <t>101</t>
  </si>
  <si>
    <t>INWARD T/T/REF/PMNT FOR INV0806-2023 0843-202 3 SICON OIL and GAS SPA ABU DH</t>
  </si>
  <si>
    <t>INV-0864-2023</t>
  </si>
  <si>
    <t>INV-0871-2023</t>
  </si>
  <si>
    <t>HV Cable Termination &amp; Testing Works for June 2023 - UPCMS-0536</t>
  </si>
  <si>
    <t>119</t>
  </si>
  <si>
    <t>being partial payment received via bank transfer</t>
  </si>
  <si>
    <t>INV-0892-2023</t>
  </si>
  <si>
    <t>HV Cable Termination &amp; Testing Works for July 2023 - UPCMS-0536</t>
  </si>
  <si>
    <t>INV-0893-2023</t>
  </si>
  <si>
    <t>110V DC Source(0-110V) - Period: 14.06.2023 TO 14.07.2023 - Sicon - UPCMS -0547</t>
  </si>
  <si>
    <t>133</t>
  </si>
  <si>
    <t>partial payment received from Sicon</t>
  </si>
  <si>
    <t>138</t>
  </si>
  <si>
    <t>160</t>
  </si>
  <si>
    <t>being partial payment received sicon agst old outstanding- via  bank transfer</t>
  </si>
  <si>
    <t>ABU DHABI NATIONAL OIL COMPANY FOR DISTRIBUTION PJSC</t>
  </si>
  <si>
    <t>M/s SARI OIL FIELD SERVICES, SUPPLIES &amp; GENERAL TRANSPORT COMPANY - SOLE PROPRIETORSHIP LLC</t>
  </si>
  <si>
    <t>TRN : 100327186100003</t>
  </si>
  <si>
    <t>INV-0842-2023</t>
  </si>
  <si>
    <t>Replacement of Damaged Caravan- Adnoc Gas Processing - 15% Advance payment</t>
  </si>
  <si>
    <t>INV-0908-2023</t>
  </si>
  <si>
    <t>Replacement of Damaged Caravan- Adnoc Gas Processing - 40% Weightage Claimed</t>
  </si>
  <si>
    <t>FIBRE OPTIC CABLE SPLICING
&amp;TESTING WORK</t>
  </si>
  <si>
    <t>7500118236 &amp; 7500118238</t>
  </si>
  <si>
    <t>Probus Engineering &amp; Construction</t>
  </si>
  <si>
    <t>TRN : 100354811000003</t>
  </si>
  <si>
    <t>INV-0637-2022</t>
  </si>
  <si>
    <t>E &amp; I Works for Upgradation of DEO { Ethane ( C2)} , Flowmeter Skid in Train I,II &amp; III at Ruwais - June 2022</t>
  </si>
  <si>
    <t>INV-0649-2022</t>
  </si>
  <si>
    <t>E &amp; I Works for Upgradation of DEO { Ethane ( C2)} , Flowmeter Skid in Train I,II &amp; III at Ruwais - July 2022</t>
  </si>
  <si>
    <t>INV -0693-2022</t>
  </si>
  <si>
    <t>E &amp; I Works for Upgradation of DEO { Ethane ( C2)} , Flowmeter Skid in Train I,II &amp; III at Ruwais - August 2022</t>
  </si>
  <si>
    <t>INV-0725-2022</t>
  </si>
  <si>
    <t>E &amp; I Works for Upgradation of DEO { Ethane ( C2)} , Flowmeter Skid in Train I,II &amp; III at Ruwais - October 2022</t>
  </si>
  <si>
    <t>INV-0750-2022</t>
  </si>
  <si>
    <t>E &amp; I Works for Upgradation of DEO { Ethane ( C2)} , Flowmeter Skid in Train I,II &amp; III at Ruwais - November 2022</t>
  </si>
  <si>
    <t>INV-0765-2023</t>
  </si>
  <si>
    <t>E &amp; I Works for Upgradation of DEO { Ethane ( C2)} , Flowmeter Skid in Train I,II &amp; III at Ruwais - December 2022</t>
  </si>
  <si>
    <t>INV-0803-2023</t>
  </si>
  <si>
    <t>E &amp; I Works for Upgradation of DEO { Ethane ( C2)} , Flowmeter Skid in Train I,II &amp; III at Ruwais - February 2023</t>
  </si>
  <si>
    <t>ABU DHABI COMPANY FOR ONSHORE PETROLEUM OPERATIONS LTD</t>
  </si>
  <si>
    <t>ADNOC REFINING</t>
  </si>
  <si>
    <t>ADNOC L &amp; S</t>
  </si>
  <si>
    <t>BOROUGE</t>
  </si>
  <si>
    <t>ADNOC</t>
  </si>
  <si>
    <t>ADNOC ONSHORE</t>
  </si>
  <si>
    <t xml:space="preserve">ADNOC </t>
  </si>
  <si>
    <t>OPERATION AND MAINTENANCE SERVICES FOR CCTV &amp; ACCESS CONTROL SYSTEMS-2]</t>
  </si>
  <si>
    <t>SIPEM</t>
  </si>
  <si>
    <t>1506744_PREDICTIVE EMISSION MONITORING SYSTEM (PEMS) - HAIL &amp; GHASHA DEVELOPMENT PROJECT PACKAGE 1 OFFSHORE FACILITIES PROJECT</t>
  </si>
  <si>
    <t>BIN ASHEER</t>
  </si>
  <si>
    <t>SS-PO-13684</t>
  </si>
  <si>
    <t>ONGOING</t>
  </si>
  <si>
    <t>COMPLETED</t>
  </si>
  <si>
    <t>Project Status</t>
  </si>
  <si>
    <t>MAINTENANCE AGREEMENT FOR NOZZLEPRO SOFTWARE</t>
  </si>
  <si>
    <t>PURCHASING SOFTWARE (CHEMWATCH) FOR CHEMICAL MANAGEMENT</t>
  </si>
  <si>
    <t>ADNOC DISTRIBUTION</t>
  </si>
  <si>
    <t>ADNOC DRILLING</t>
  </si>
  <si>
    <t>UAEU</t>
  </si>
  <si>
    <t>MAINTENANCE SUPPORT SERVICES FOR COMPANY TELECOM NETWORK - 3 YEARS</t>
  </si>
  <si>
    <t>MANPOWER SUPPLY AGREEM-ENT SPECIALIST RESOURCES - FOR INFRASTRUCTURE &amp; APPLICATION SUPPORT SERVICE</t>
  </si>
  <si>
    <t>LOW VALUE SERVICES AGREEMENT FOR INSTALLING CCTV SYSTEM</t>
  </si>
  <si>
    <t>WISTLEBLOWER PLATFORM</t>
  </si>
  <si>
    <t>GROUP CODE QUALITY AND UNIFIED COLLABORATION PLATFORMS – NEW LICENSE</t>
  </si>
  <si>
    <t>TSI SERVICES FOR FUJAIRAH MOT CONTROL ROOM BUILDING PROJECT OF ADNOC ONSHORE - EMIRATES NATIONAL WORK ORDER - PO NO. SS-PO-13684</t>
  </si>
  <si>
    <t xml:space="preserve">DIGITAL AUTOMATION SOLUTION SERVICES </t>
  </si>
  <si>
    <t xml:space="preserve">DIGITAL ANALYTICAL SOULTION SERVICES </t>
  </si>
  <si>
    <t>CCTV AND ACCESS CONTROL SYSTEM ANNUAL MAINTENANCE CONTRACT RENEWAL</t>
  </si>
  <si>
    <t>SOFTWARE DEVELOPMENT SERVICES</t>
  </si>
  <si>
    <t>ASSET DATA MANAGEMENT</t>
  </si>
  <si>
    <t>DIGITAL CORPORATE SOLUTIONS SERVICES.</t>
  </si>
  <si>
    <t xml:space="preserve"> ANALOGUE CCTV SYSTEM UPGRADE TO IP - 
PA-21 B1-2-3 CCTV SYSTEM PARTIAL UPGRADE FROM ANALOGUE TO IP,LDPE CCTV CAMERA UPGRADATION AND INSTALLATION OF 3 NEW CAMERA IN LDPE REACTOR AREA</t>
  </si>
  <si>
    <t>RR III - RUWAIS REFINERY 3 PROCESS AREA CCTV SYSTEM UPGRADE</t>
  </si>
  <si>
    <t>ENTERPRISE CONTENT DELIVERY NETWORK (ECDN)</t>
  </si>
  <si>
    <t>INSTALLATION OF CCTV CAMERAS IN THE STORES
INSTALLATION OF CCTV CAMERAS IN THE STORES</t>
  </si>
  <si>
    <t>IT NETWORK RACKS CABLE RE-ARRANGEMENTS, MULTIPLE SITES
THE VENDOR SHOULD HAVE A VALID CICPA PASS TO ACCESS OUR SITE.</t>
  </si>
  <si>
    <t>CCTV ENGINEER FOR TROUBLESHOOTING</t>
  </si>
  <si>
    <t>COMPUTER SOFTWARE FOR LABORATORIES - ATLAS 3 YEARS</t>
  </si>
  <si>
    <t>ABU DHABI COMPANY FOR ONSHORE PETROLEUM OPERATIONS LTD. (ADNOC ONSHORE)</t>
  </si>
  <si>
    <t>TECNIMONT PRIVATE LIMITED</t>
  </si>
  <si>
    <t>ADNOC DRILLING COMPANY</t>
  </si>
  <si>
    <t>ABU DHABI NATIONAL OIL COMPANY</t>
  </si>
  <si>
    <t>SYSSENSE COMPUTERS LLC - OPC</t>
  </si>
  <si>
    <t>ADNOC DSITRIBUTION</t>
  </si>
  <si>
    <t xml:space="preserve">ADNOC DISTRIBUTION </t>
  </si>
  <si>
    <t>ITM O&amp;M COMPANY LIMITED, P.O. BOX:46421</t>
  </si>
  <si>
    <t>TECHNIP ENERGIES FRANCE, QATAR BRANCH</t>
  </si>
  <si>
    <t>4700027187 - PROCESS QUALITY AND SATISFACTION MANAGEMENT</t>
  </si>
  <si>
    <t>6000107042 B - Desktop Managed Services</t>
  </si>
  <si>
    <t>6000107042 A On-Call Digital Corporate Implementation Services</t>
  </si>
  <si>
    <t>6000107042 C - On-Call Technical Managed Services</t>
  </si>
  <si>
    <t xml:space="preserve"> 6000114099_Board Management System</t>
  </si>
  <si>
    <t>ACCESS CONTROL SYSTEM FOR ADNOC L&amp;S</t>
  </si>
  <si>
    <t>LIVE STREAMING OF CONSTRUCTION PROGRESS WITHIN TA’ZIZ PARK IN RUWAIS</t>
  </si>
  <si>
    <t xml:space="preserve">ABU DHABI CHEMICAL DERIVATIVES COMPANY RSC LTD (TA’ZIZ) </t>
  </si>
  <si>
    <t>Abu Dhabi Gas Development Company LTD (ADNOC Sour Gas)</t>
  </si>
  <si>
    <t>Software and Hardware Support Agreement for Security System Maintenance</t>
  </si>
  <si>
    <t>Abu Dhabi Gas Industries LTD (ADNOC Gas Processing)</t>
  </si>
  <si>
    <t xml:space="preserve"> OT SECURITY LOCK AND DOOR REPLACEMENT.</t>
  </si>
  <si>
    <t>ABU DHABI POLYMERS CO. LTD (BOROUGE) SOLE PROPRIETORSHIP LLC</t>
  </si>
  <si>
    <t>BOROUGE INNOVATION CENTRE BUILDING CCTV UPGRADATION</t>
  </si>
  <si>
    <t>FLC-135-23</t>
  </si>
  <si>
    <t>Falco Security &amp; Technology LLC</t>
  </si>
  <si>
    <t>Cunsultancy Support Services for Supply,Installation &amp;
Configuration of Active Components for ICT System and
Integrating with CISCO Active components by extending
lines from HQ</t>
  </si>
  <si>
    <t>Open order</t>
  </si>
  <si>
    <t>2402103 &amp; 401449</t>
  </si>
  <si>
    <t>Nasser Saeed Al Hajri &amp; Partners Contracting Co.</t>
  </si>
  <si>
    <t>Supply of certified termination Technician</t>
  </si>
  <si>
    <t>N110813</t>
  </si>
  <si>
    <t>Technip Energies France, Qatar Branch</t>
  </si>
  <si>
    <t>Purchasing software (chemwatch) for Chemical 
Management, program can provide risk assessment on 
the chemicals and the end user (subcontractors) can print</t>
  </si>
  <si>
    <t>Completed</t>
  </si>
  <si>
    <t>URTO SOFTWARE MAINTENANCE SUPPORT (APC)</t>
  </si>
  <si>
    <t>EXECUTION OF FIBRE OPTIC CABLE TESTING, GLANDING
AND TERMINATION WORKS FOR ELECTRICAL &amp;
INSTRUMENTATION SYSTEM.</t>
  </si>
  <si>
    <t>LAHOUD ENGINEERING COMPANY - L.L.C - S.P.C</t>
  </si>
  <si>
    <t>Abu Dhabi Polymers Co. Ltd (Borouge) Sole Proprietorship LL.C</t>
  </si>
  <si>
    <t xml:space="preserve">Public Address and General Alarm (PAGA) System Upgrade to Elemec3
</t>
  </si>
  <si>
    <t>Department</t>
  </si>
  <si>
    <t>Software</t>
  </si>
  <si>
    <t>Telecom</t>
  </si>
  <si>
    <t>CYLINGAS</t>
  </si>
  <si>
    <t>Project Information</t>
  </si>
  <si>
    <t>IMPLEMENTATION AND SUPPORT AGREEMENT
FOR MAKE IT WITH ADNOC SUPPORT &amp; MAINTENANCE</t>
  </si>
  <si>
    <t>HGM-024-SC-1606-0</t>
  </si>
  <si>
    <t xml:space="preserve"> 6000129929 - DIGITAL ANALYTICS AI AND BI SERVICES - CAPSA</t>
  </si>
  <si>
    <t>6000130435 DIGITAL AUTOMATIONS SOLUTIONS SERVICES</t>
  </si>
  <si>
    <t>6000130632 DIGITAL CORPORATE SOLUTIONS SERVICES</t>
  </si>
  <si>
    <t>6000131040 DIGITAL MOBILE AND WEB SERVICES</t>
  </si>
  <si>
    <t>CCTV, SPRINKLER SYSTEM AND F&amp;G SYSTEMS UPGRADE IN RR-II CBDC UNITS</t>
  </si>
  <si>
    <t>4700028940 - ADNOC BYNDER SOLUTION MAINTENANCE &amp; SUPPORT</t>
  </si>
  <si>
    <t>24025-24026-2025-008R1</t>
  </si>
  <si>
    <t>CONSTRUCTION OF CENTRAL WAREHOUSE 04102-SA-150-1 PHASE 3 ADNOC BAB INDUSTRIAL BUILDING COMPLEX - LOW CURRENT, ELV, TELECOM (Including TSI) &amp; DATA</t>
  </si>
  <si>
    <t>WO/BA/24026-2026-015</t>
  </si>
  <si>
    <t>BAB Industrial Building, Substations and Miscellaneous Utility Works- Fire station &amp; Associated works. - For Low Current, ELV, Telecom (including TSI) &amp; Data</t>
  </si>
  <si>
    <t>BIN ASHEER/Archirodon</t>
  </si>
  <si>
    <t xml:space="preserve"> CCTV , PAGA, DATA &amp; TELEPHONE SYSTEM - ADNOC Airport Facilities</t>
  </si>
  <si>
    <t xml:space="preserve"> JF:5135: MR-112501590 </t>
  </si>
  <si>
    <t>SOFTWARE IMPLEMENTATION AND SUPPORT AGREEMENT FOR CUSTOMISED AI CHATBOT</t>
  </si>
  <si>
    <t>Al Nasr Contracting Co LLC</t>
  </si>
  <si>
    <t>On-site -Telecom Tower maintenance (Certified
Rigger services</t>
  </si>
  <si>
    <r>
      <t xml:space="preserve">CAPSA ENGINEERING AND CONTRACTING L.L.C.
</t>
    </r>
    <r>
      <rPr>
        <b/>
        <u/>
        <sz val="28"/>
        <color theme="8" tint="-0.499984740745262"/>
        <rFont val="Bahnschrift"/>
        <family val="2"/>
      </rPr>
      <t>Software Projects List</t>
    </r>
  </si>
  <si>
    <r>
      <t xml:space="preserve">CAPSA ENGINEERING AND CONTRACTING L.L.C.
</t>
    </r>
    <r>
      <rPr>
        <b/>
        <u/>
        <sz val="28"/>
        <color theme="8" tint="-0.499984740745262"/>
        <rFont val="Bahnschrift"/>
        <family val="2"/>
      </rPr>
      <t>Telecom Projects List</t>
    </r>
  </si>
  <si>
    <t>Creowave Digital Technologies -ADNOC Sour Gas</t>
  </si>
  <si>
    <t>Creowave - ADNOC Sour Gas</t>
  </si>
  <si>
    <t>3 month</t>
  </si>
  <si>
    <t>FOR Artificial Intelligence (AI) Hydrogen Network Optimization</t>
  </si>
  <si>
    <t>SOFTWARE IMPLEMENTATION AND SUPPORT AGREEMENT FOR CUSTOMISED AI
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</si>
</sst>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dd\-mmm\-yyyy"/>
    <numFmt numFmtId="167" formatCode="&quot;&quot;0"/>
    <numFmt numFmtId="168" formatCode="&quot;&quot;0.00&quot; Dr&quot;"/>
    <numFmt numFmtId="169" formatCode="&quot;&quot;0.00&quot; Cr&quot;"/>
    <numFmt numFmtId="170" formatCode="_(* #,##0.0000000_);_(* \(#,##0.0000000\);_(* &quot;-&quot;??_);_(@_)"/>
    <numFmt numFmtId="171" formatCode="_(* #,##0.00000000_);_(* \(#,##0.00000000\);_(* &quot;-&quot;??_);_(@_)"/>
    <numFmt numFmtId="174" formatCode="_-&quot;AED&quot;* #,##0.00_-;\-&quot;AED&quot;* #,##0.00_-;_-&quot;AED&quot;* &quot;-&quot;??_-;_-@_-"/>
    <numFmt numFmtId="175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0"/>
      <name val="Arial"/>
      <family val="2"/>
    </font>
    <font>
      <sz val="8"/>
      <name val="Calibri"/>
      <family val="2"/>
      <scheme val="minor"/>
    </font>
    <font>
      <sz val="9"/>
      <color theme="1"/>
      <name val="Tahoma"/>
      <family val="2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Bahnschrift"/>
      <family val="2"/>
    </font>
    <font>
      <sz val="14"/>
      <color theme="1"/>
      <name val="Bahnschrift"/>
      <family val="2"/>
    </font>
    <font>
      <b/>
      <sz val="36"/>
      <color theme="8" tint="-0.499984740745262"/>
      <name val="Bahnschrift"/>
      <family val="2"/>
    </font>
    <font>
      <b/>
      <u/>
      <sz val="28"/>
      <color theme="8" tint="-0.499984740745262"/>
      <name val="Bahnschrift"/>
      <family val="2"/>
    </font>
    <font>
      <b/>
      <sz val="18"/>
      <color theme="1"/>
      <name val="Bahnschrift"/>
      <family val="2"/>
    </font>
    <font>
      <b/>
      <sz val="26"/>
      <color theme="5" tint="-0.499984740745262"/>
      <name val="Bahnschrift"/>
      <family val="2"/>
    </font>
    <font>
      <b/>
      <sz val="26"/>
      <color theme="1"/>
      <name val="Bahnschrift"/>
      <family val="2"/>
    </font>
    <font>
      <b/>
      <sz val="18"/>
      <color theme="5" tint="-0.499984740745262"/>
      <name val="Bahnschrif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1" fillId="0" borderId="0"/>
    <xf numFmtId="164" fontId="12" fillId="0" borderId="0" applyFont="0" applyFill="0" applyBorder="0" applyAlignment="0" applyProtection="0"/>
    <xf numFmtId="0" fontId="1" fillId="0" borderId="0"/>
    <xf numFmtId="0" fontId="12" fillId="0" borderId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2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4" fontId="2" fillId="0" borderId="1" xfId="1" applyFont="1" applyBorder="1" applyAlignment="1">
      <alignment horizontal="right" vertical="top"/>
    </xf>
    <xf numFmtId="164" fontId="3" fillId="0" borderId="1" xfId="1" applyFont="1" applyBorder="1" applyAlignment="1">
      <alignment horizontal="right" vertical="top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166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2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166" fontId="2" fillId="0" borderId="4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horizontal="right" vertical="top"/>
    </xf>
    <xf numFmtId="49" fontId="2" fillId="0" borderId="4" xfId="0" applyNumberFormat="1" applyFont="1" applyBorder="1" applyAlignment="1">
      <alignment vertical="top" wrapText="1"/>
    </xf>
    <xf numFmtId="164" fontId="3" fillId="0" borderId="4" xfId="1" applyFont="1" applyBorder="1" applyAlignment="1">
      <alignment horizontal="right" vertical="top"/>
    </xf>
    <xf numFmtId="164" fontId="2" fillId="0" borderId="4" xfId="1" applyFont="1" applyBorder="1" applyAlignment="1">
      <alignment horizontal="right" vertical="top"/>
    </xf>
    <xf numFmtId="167" fontId="2" fillId="0" borderId="4" xfId="0" applyNumberFormat="1" applyFont="1" applyBorder="1" applyAlignment="1">
      <alignment horizontal="right" vertical="top"/>
    </xf>
    <xf numFmtId="166" fontId="2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horizontal="right" vertical="top"/>
    </xf>
    <xf numFmtId="49" fontId="2" fillId="0" borderId="5" xfId="0" applyNumberFormat="1" applyFont="1" applyBorder="1" applyAlignment="1">
      <alignment vertical="top" wrapText="1"/>
    </xf>
    <xf numFmtId="164" fontId="3" fillId="0" borderId="5" xfId="1" applyFont="1" applyBorder="1" applyAlignment="1">
      <alignment horizontal="right" vertical="top"/>
    </xf>
    <xf numFmtId="164" fontId="2" fillId="0" borderId="5" xfId="1" applyFont="1" applyBorder="1" applyAlignment="1">
      <alignment horizontal="right" vertical="top"/>
    </xf>
    <xf numFmtId="167" fontId="2" fillId="0" borderId="5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vertical="top" wrapText="1"/>
    </xf>
    <xf numFmtId="164" fontId="3" fillId="0" borderId="3" xfId="1" applyFont="1" applyBorder="1" applyAlignment="1">
      <alignment horizontal="right" vertical="top"/>
    </xf>
    <xf numFmtId="164" fontId="2" fillId="0" borderId="3" xfId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167" fontId="2" fillId="0" borderId="3" xfId="0" applyNumberFormat="1" applyFont="1" applyBorder="1" applyAlignment="1">
      <alignment horizontal="right" vertical="top"/>
    </xf>
    <xf numFmtId="167" fontId="2" fillId="0" borderId="1" xfId="0" applyNumberFormat="1" applyFont="1" applyBorder="1" applyAlignment="1">
      <alignment horizontal="right" vertical="top"/>
    </xf>
    <xf numFmtId="164" fontId="2" fillId="0" borderId="1" xfId="2" applyFont="1" applyBorder="1" applyAlignment="1">
      <alignment horizontal="right" vertical="top"/>
    </xf>
    <xf numFmtId="164" fontId="3" fillId="0" borderId="1" xfId="2" applyFont="1" applyBorder="1" applyAlignment="1">
      <alignment horizontal="right" vertical="top"/>
    </xf>
    <xf numFmtId="164" fontId="2" fillId="0" borderId="3" xfId="2" applyFont="1" applyBorder="1" applyAlignment="1">
      <alignment horizontal="right" vertical="top"/>
    </xf>
    <xf numFmtId="164" fontId="3" fillId="0" borderId="3" xfId="2" applyFont="1" applyBorder="1" applyAlignment="1">
      <alignment horizontal="right" vertical="top"/>
    </xf>
    <xf numFmtId="164" fontId="2" fillId="0" borderId="5" xfId="2" applyFont="1" applyBorder="1" applyAlignment="1">
      <alignment horizontal="right" vertical="top"/>
    </xf>
    <xf numFmtId="164" fontId="3" fillId="0" borderId="5" xfId="2" applyFont="1" applyBorder="1" applyAlignment="1">
      <alignment horizontal="right" vertical="top"/>
    </xf>
    <xf numFmtId="164" fontId="2" fillId="0" borderId="4" xfId="2" applyFont="1" applyBorder="1" applyAlignment="1">
      <alignment horizontal="right" vertical="top"/>
    </xf>
    <xf numFmtId="164" fontId="3" fillId="0" borderId="4" xfId="2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9" fontId="2" fillId="0" borderId="4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169" fontId="2" fillId="0" borderId="5" xfId="0" applyNumberFormat="1" applyFont="1" applyBorder="1" applyAlignment="1">
      <alignment horizontal="right" vertical="top"/>
    </xf>
    <xf numFmtId="168" fontId="2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169" fontId="2" fillId="0" borderId="3" xfId="0" applyNumberFormat="1" applyFont="1" applyBorder="1" applyAlignment="1">
      <alignment horizontal="right" vertical="top"/>
    </xf>
    <xf numFmtId="168" fontId="2" fillId="0" borderId="3" xfId="0" applyNumberFormat="1" applyFont="1" applyBorder="1" applyAlignment="1">
      <alignment horizontal="right" vertical="top"/>
    </xf>
    <xf numFmtId="0" fontId="8" fillId="0" borderId="0" xfId="0" applyFont="1" applyAlignment="1">
      <alignment vertical="top"/>
    </xf>
    <xf numFmtId="49" fontId="8" fillId="0" borderId="0" xfId="0" applyNumberFormat="1" applyFont="1" applyAlignment="1">
      <alignment horizontal="center" vertical="top"/>
    </xf>
    <xf numFmtId="49" fontId="8" fillId="0" borderId="3" xfId="0" applyNumberFormat="1" applyFont="1" applyBorder="1" applyAlignment="1">
      <alignment horizontal="center" vertical="top" wrapText="1"/>
    </xf>
    <xf numFmtId="49" fontId="9" fillId="0" borderId="3" xfId="0" applyNumberFormat="1" applyFont="1" applyBorder="1" applyAlignment="1">
      <alignment horizontal="center" vertical="top" wrapText="1"/>
    </xf>
    <xf numFmtId="166" fontId="8" fillId="0" borderId="4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vertical="top" wrapText="1"/>
    </xf>
    <xf numFmtId="49" fontId="8" fillId="0" borderId="4" xfId="0" applyNumberFormat="1" applyFont="1" applyBorder="1" applyAlignment="1">
      <alignment vertical="top"/>
    </xf>
    <xf numFmtId="49" fontId="8" fillId="0" borderId="4" xfId="0" applyNumberFormat="1" applyFont="1" applyBorder="1" applyAlignment="1">
      <alignment horizontal="right" vertical="top"/>
    </xf>
    <xf numFmtId="49" fontId="8" fillId="0" borderId="4" xfId="0" applyNumberFormat="1" applyFont="1" applyBorder="1" applyAlignment="1">
      <alignment vertical="top" wrapText="1"/>
    </xf>
    <xf numFmtId="168" fontId="7" fillId="0" borderId="4" xfId="0" applyNumberFormat="1" applyFont="1" applyBorder="1" applyAlignment="1">
      <alignment horizontal="right" vertical="top"/>
    </xf>
    <xf numFmtId="169" fontId="8" fillId="0" borderId="4" xfId="0" applyNumberFormat="1" applyFont="1" applyBorder="1" applyAlignment="1">
      <alignment horizontal="right" vertical="top"/>
    </xf>
    <xf numFmtId="167" fontId="8" fillId="0" borderId="4" xfId="0" applyNumberFormat="1" applyFont="1" applyBorder="1" applyAlignment="1">
      <alignment horizontal="right" vertical="top"/>
    </xf>
    <xf numFmtId="166" fontId="8" fillId="0" borderId="5" xfId="0" applyNumberFormat="1" applyFont="1" applyBorder="1" applyAlignment="1">
      <alignment horizontal="right" vertical="top"/>
    </xf>
    <xf numFmtId="49" fontId="7" fillId="0" borderId="5" xfId="0" applyNumberFormat="1" applyFont="1" applyBorder="1" applyAlignment="1">
      <alignment vertical="top" wrapText="1"/>
    </xf>
    <xf numFmtId="49" fontId="8" fillId="0" borderId="5" xfId="0" applyNumberFormat="1" applyFont="1" applyBorder="1" applyAlignment="1">
      <alignment vertical="top"/>
    </xf>
    <xf numFmtId="49" fontId="8" fillId="0" borderId="5" xfId="0" applyNumberFormat="1" applyFont="1" applyBorder="1" applyAlignment="1">
      <alignment horizontal="right" vertical="top"/>
    </xf>
    <xf numFmtId="49" fontId="8" fillId="0" borderId="5" xfId="0" applyNumberFormat="1" applyFont="1" applyBorder="1" applyAlignment="1">
      <alignment vertical="top" wrapText="1"/>
    </xf>
    <xf numFmtId="168" fontId="7" fillId="0" borderId="5" xfId="0" applyNumberFormat="1" applyFont="1" applyBorder="1" applyAlignment="1">
      <alignment horizontal="right" vertical="top"/>
    </xf>
    <xf numFmtId="169" fontId="8" fillId="0" borderId="5" xfId="0" applyNumberFormat="1" applyFont="1" applyBorder="1" applyAlignment="1">
      <alignment horizontal="right" vertical="top"/>
    </xf>
    <xf numFmtId="167" fontId="8" fillId="0" borderId="5" xfId="0" applyNumberFormat="1" applyFont="1" applyBorder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49" fontId="9" fillId="0" borderId="3" xfId="0" applyNumberFormat="1" applyFont="1" applyBorder="1" applyAlignment="1">
      <alignment horizontal="right" vertical="top"/>
    </xf>
    <xf numFmtId="49" fontId="8" fillId="0" borderId="3" xfId="0" applyNumberFormat="1" applyFont="1" applyBorder="1" applyAlignment="1">
      <alignment vertical="top"/>
    </xf>
    <xf numFmtId="49" fontId="8" fillId="0" borderId="3" xfId="0" applyNumberFormat="1" applyFont="1" applyBorder="1" applyAlignment="1">
      <alignment horizontal="right" vertical="top"/>
    </xf>
    <xf numFmtId="49" fontId="8" fillId="0" borderId="3" xfId="0" applyNumberFormat="1" applyFont="1" applyBorder="1" applyAlignment="1">
      <alignment vertical="top" wrapText="1"/>
    </xf>
    <xf numFmtId="168" fontId="7" fillId="0" borderId="3" xfId="0" applyNumberFormat="1" applyFont="1" applyBorder="1" applyAlignment="1">
      <alignment horizontal="right" vertical="top"/>
    </xf>
    <xf numFmtId="169" fontId="8" fillId="0" borderId="3" xfId="0" applyNumberFormat="1" applyFont="1" applyBorder="1" applyAlignment="1">
      <alignment horizontal="right" vertical="top"/>
    </xf>
    <xf numFmtId="167" fontId="8" fillId="0" borderId="3" xfId="0" applyNumberFormat="1" applyFont="1" applyBorder="1" applyAlignment="1">
      <alignment horizontal="right" vertical="top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2" borderId="0" xfId="0" applyFill="1"/>
    <xf numFmtId="171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165" fontId="15" fillId="0" borderId="1" xfId="0" applyNumberFormat="1" applyFont="1" applyBorder="1" applyAlignment="1">
      <alignment horizontal="center" vertical="center"/>
    </xf>
    <xf numFmtId="165" fontId="16" fillId="2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left" vertical="center" wrapText="1"/>
    </xf>
    <xf numFmtId="0" fontId="21" fillId="7" borderId="7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left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7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/>
    </xf>
    <xf numFmtId="49" fontId="8" fillId="0" borderId="2" xfId="0" applyNumberFormat="1" applyFont="1" applyBorder="1" applyAlignment="1">
      <alignment vertical="top"/>
    </xf>
    <xf numFmtId="0" fontId="0" fillId="0" borderId="1" xfId="0" applyBorder="1"/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5" fontId="16" fillId="8" borderId="1" xfId="0" applyNumberFormat="1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165" fontId="15" fillId="2" borderId="1" xfId="0" applyNumberFormat="1" applyFont="1" applyFill="1" applyBorder="1" applyAlignment="1">
      <alignment horizontal="center" vertical="center"/>
    </xf>
  </cellXfs>
  <cellStyles count="37">
    <cellStyle name="Comma" xfId="1" builtinId="3"/>
    <cellStyle name="Comma 2" xfId="2" xr:uid="{082D570F-EB1A-4325-8BDB-A2CD711EAFBC}"/>
    <cellStyle name="Comma 2 2" xfId="3" xr:uid="{EFF048DB-3289-4B1B-B605-CA16C435104F}"/>
    <cellStyle name="Comma 2 2 2" xfId="11" xr:uid="{8AE0A483-3404-490E-9D1E-A964E2A22650}"/>
    <cellStyle name="Comma 2 2 2 2" xfId="33" xr:uid="{5FF7A97F-EF46-4CE8-B378-D0FBC5845765}"/>
    <cellStyle name="Comma 2 2 2 3" xfId="26" xr:uid="{4B527654-ABAB-4657-A1FF-A96283DBDBB9}"/>
    <cellStyle name="Comma 2 2 2 4" xfId="19" xr:uid="{7032C705-6F01-42B8-A9DF-7C1D01479ADE}"/>
    <cellStyle name="Comma 2 2 3" xfId="7" xr:uid="{A8B9A294-EC44-4223-8623-C6F305F4D5A6}"/>
    <cellStyle name="Comma 2 2 3 2" xfId="34" xr:uid="{C22ACA2F-1D27-4832-AB12-E1F7070B0B5A}"/>
    <cellStyle name="Comma 2 2 3 3" xfId="27" xr:uid="{F681A00E-A962-49FC-BBD8-87CB0E83D901}"/>
    <cellStyle name="Comma 2 2 3 4" xfId="20" xr:uid="{60AA12C6-A775-4EA2-A1D4-A4417E4C47DE}"/>
    <cellStyle name="Comma 2 2 4" xfId="17" xr:uid="{22FD5881-7EB3-4C03-AD68-D7B6DB832BB0}"/>
    <cellStyle name="Comma 2 2 4 2" xfId="31" xr:uid="{4EB108EF-7B89-4F0C-AD66-B99876B3A936}"/>
    <cellStyle name="Comma 2 2 4 3" xfId="24" xr:uid="{04670706-6734-4397-98A5-D14085E3005D}"/>
    <cellStyle name="Comma 2 2 5" xfId="13" xr:uid="{29C98232-C665-498C-8C3C-1DB6A1FA8A63}"/>
    <cellStyle name="Comma 2 3" xfId="10" xr:uid="{4A458703-F979-4599-A93B-F9ECACBE134F}"/>
    <cellStyle name="Comma 2 3 2" xfId="32" xr:uid="{4BBECD28-47BD-4DE6-8D92-AF1207DD7597}"/>
    <cellStyle name="Comma 2 3 3" xfId="25" xr:uid="{18ACEAF2-20F4-4ADE-B397-34B23F63B16C}"/>
    <cellStyle name="Comma 2 3 4" xfId="18" xr:uid="{7D953204-6B28-4E41-BCAD-D3E23532FA68}"/>
    <cellStyle name="Comma 2 4" xfId="15" xr:uid="{B2954D7E-6747-439F-959F-17B60BF82A28}"/>
    <cellStyle name="Comma 2 4 2" xfId="29" xr:uid="{65FC404E-0586-4E03-A081-8D087136D270}"/>
    <cellStyle name="Comma 2 4 3" xfId="22" xr:uid="{E15BD32E-9717-4597-A2D9-64DAEE7749E0}"/>
    <cellStyle name="Comma 2 5" xfId="12" xr:uid="{EF2E959E-30FD-43B6-A747-AD801FEA721E}"/>
    <cellStyle name="Comma 3" xfId="5" xr:uid="{3E343F87-0AE3-43F3-B940-C09091B83A7D}"/>
    <cellStyle name="Comma 3 2" xfId="30" xr:uid="{222A8ECC-AD9A-4806-A6A7-079178783122}"/>
    <cellStyle name="Comma 3 3" xfId="23" xr:uid="{3027B2F8-4F6E-4DE3-8FBB-80B7E37CD086}"/>
    <cellStyle name="Comma 3 4" xfId="16" xr:uid="{47199368-EEA2-4DDF-A9BC-3596FD779C99}"/>
    <cellStyle name="Comma 4" xfId="14" xr:uid="{9B9AD4D9-3425-494D-B1F9-BDE7E3482837}"/>
    <cellStyle name="Comma 4 2" xfId="28" xr:uid="{F7C38C80-7C24-408D-9820-B7F72870941A}"/>
    <cellStyle name="Comma 4 3" xfId="21" xr:uid="{26115B6D-04A9-4F1C-861C-87262AD2A4BD}"/>
    <cellStyle name="Currency 2" xfId="35" xr:uid="{F1729576-A20A-40F6-B9BF-807F238D36C7}"/>
    <cellStyle name="Currency 3" xfId="36" xr:uid="{0A88119C-0F9E-4F0E-87D6-1B8895B63E99}"/>
    <cellStyle name="Normal" xfId="0" builtinId="0"/>
    <cellStyle name="Normal 2" xfId="4" xr:uid="{405718C2-D07D-4CCA-B366-39693FF84585}"/>
    <cellStyle name="Normal 2 2" xfId="9" xr:uid="{C8D2371C-C859-46DA-91D7-B78CDB05542F}"/>
    <cellStyle name="Normal 3" xfId="6" xr:uid="{5100FA60-D0F9-40A1-A23A-F44C2AE81ED8}"/>
    <cellStyle name="Normal 3 2" xfId="8" xr:uid="{7E70EB56-7E3F-4ABB-8CAB-5D15406721EF}"/>
  </cellStyles>
  <dxfs count="10"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21212"/>
      <color rgb="FFAFC0A4"/>
      <color rgb="FF4E2926"/>
      <color rgb="FF860000"/>
      <color rgb="FF582A1E"/>
      <color rgb="FFCFD7CB"/>
      <color rgb="FF92AA83"/>
      <color rgb="FFB0BEA9"/>
      <color rgb="FFAAD2BA"/>
      <color rgb="FF97A9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4C05-1D17-4FAC-A0CB-6A9D70596B1B}">
  <sheetPr>
    <pageSetUpPr fitToPage="1"/>
  </sheetPr>
  <dimension ref="A1:K33"/>
  <sheetViews>
    <sheetView view="pageBreakPreview" zoomScale="55" zoomScaleNormal="55" zoomScaleSheetLayoutView="55" workbookViewId="0">
      <pane xSplit="7" ySplit="3" topLeftCell="H35" activePane="bottomRight" state="frozen"/>
      <selection pane="topRight" activeCell="J1" sqref="J1"/>
      <selection pane="bottomLeft" activeCell="A4" sqref="A4"/>
      <selection pane="bottomRight" activeCell="F32" sqref="F32:G32"/>
    </sheetView>
  </sheetViews>
  <sheetFormatPr defaultRowHeight="18" x14ac:dyDescent="0.35"/>
  <cols>
    <col min="1" max="1" width="17" customWidth="1"/>
    <col min="2" max="2" width="26.6640625" customWidth="1"/>
    <col min="3" max="3" width="83" bestFit="1" customWidth="1"/>
    <col min="4" max="4" width="51.33203125" bestFit="1" customWidth="1"/>
    <col min="5" max="5" width="85.88671875" style="88" bestFit="1" customWidth="1"/>
    <col min="6" max="6" width="18.6640625" style="89" customWidth="1"/>
    <col min="7" max="7" width="18.33203125" style="89" customWidth="1"/>
    <col min="8" max="8" width="23.5546875" style="89" customWidth="1"/>
    <col min="9" max="9" width="23.44140625" customWidth="1"/>
    <col min="10" max="10" width="23.44140625" style="93" customWidth="1"/>
    <col min="11" max="12" width="16" bestFit="1" customWidth="1"/>
  </cols>
  <sheetData>
    <row r="1" spans="1:11" ht="151.5" customHeight="1" thickBot="1" x14ac:dyDescent="0.35">
      <c r="A1" s="108" t="s">
        <v>684</v>
      </c>
      <c r="B1" s="109"/>
      <c r="C1" s="109"/>
      <c r="D1" s="109"/>
      <c r="E1" s="109"/>
      <c r="F1" s="109"/>
      <c r="G1" s="109"/>
      <c r="H1" s="110"/>
    </row>
    <row r="2" spans="1:11" ht="45" customHeight="1" x14ac:dyDescent="0.3">
      <c r="A2" s="111" t="s">
        <v>0</v>
      </c>
      <c r="B2" s="113" t="s">
        <v>665</v>
      </c>
      <c r="C2" s="114"/>
      <c r="D2" s="114"/>
      <c r="E2" s="114"/>
      <c r="F2" s="114"/>
      <c r="G2" s="114"/>
      <c r="H2" s="103"/>
    </row>
    <row r="3" spans="1:11" ht="108" customHeight="1" thickBot="1" x14ac:dyDescent="0.35">
      <c r="A3" s="112"/>
      <c r="B3" s="104" t="s">
        <v>661</v>
      </c>
      <c r="C3" s="105" t="s">
        <v>512</v>
      </c>
      <c r="D3" s="105" t="s">
        <v>1</v>
      </c>
      <c r="E3" s="105" t="s">
        <v>2</v>
      </c>
      <c r="F3" s="105" t="s">
        <v>3</v>
      </c>
      <c r="G3" s="105" t="s">
        <v>4</v>
      </c>
      <c r="H3" s="106" t="s">
        <v>597</v>
      </c>
      <c r="J3" s="94"/>
    </row>
    <row r="4" spans="1:11" ht="42" customHeight="1" x14ac:dyDescent="0.3">
      <c r="A4" s="96">
        <v>1</v>
      </c>
      <c r="B4" s="97" t="s">
        <v>662</v>
      </c>
      <c r="C4" s="98">
        <v>4700021872</v>
      </c>
      <c r="D4" s="99" t="s">
        <v>558</v>
      </c>
      <c r="E4" s="99" t="s">
        <v>8</v>
      </c>
      <c r="F4" s="100"/>
      <c r="G4" s="100"/>
      <c r="H4" s="101" t="s">
        <v>595</v>
      </c>
      <c r="J4" s="94"/>
    </row>
    <row r="5" spans="1:11" ht="45" customHeight="1" x14ac:dyDescent="0.3">
      <c r="A5" s="96">
        <v>2</v>
      </c>
      <c r="B5" s="97" t="s">
        <v>662</v>
      </c>
      <c r="C5" s="98">
        <v>4700022287</v>
      </c>
      <c r="D5" s="99" t="s">
        <v>6</v>
      </c>
      <c r="E5" s="99" t="s">
        <v>606</v>
      </c>
      <c r="F5" s="100">
        <v>45261</v>
      </c>
      <c r="G5" s="100">
        <v>46356</v>
      </c>
      <c r="H5" s="101" t="s">
        <v>595</v>
      </c>
      <c r="J5" s="94"/>
    </row>
    <row r="6" spans="1:11" ht="42" customHeight="1" x14ac:dyDescent="0.3">
      <c r="A6" s="96">
        <v>3</v>
      </c>
      <c r="B6" s="97" t="s">
        <v>662</v>
      </c>
      <c r="C6" s="98">
        <v>4700023120</v>
      </c>
      <c r="D6" s="99" t="s">
        <v>625</v>
      </c>
      <c r="E6" s="99" t="s">
        <v>607</v>
      </c>
      <c r="F6" s="100">
        <v>45377</v>
      </c>
      <c r="G6" s="100">
        <v>46472</v>
      </c>
      <c r="H6" s="101" t="s">
        <v>595</v>
      </c>
      <c r="J6" s="94"/>
    </row>
    <row r="7" spans="1:11" ht="62.25" customHeight="1" x14ac:dyDescent="0.3">
      <c r="A7" s="96">
        <v>4</v>
      </c>
      <c r="B7" s="97" t="s">
        <v>662</v>
      </c>
      <c r="C7" s="98">
        <v>4700023748</v>
      </c>
      <c r="D7" s="99" t="s">
        <v>627</v>
      </c>
      <c r="E7" s="99" t="s">
        <v>609</v>
      </c>
      <c r="F7" s="100">
        <v>45481</v>
      </c>
      <c r="G7" s="100">
        <v>46575</v>
      </c>
      <c r="H7" s="101" t="s">
        <v>595</v>
      </c>
      <c r="J7" s="94"/>
    </row>
    <row r="8" spans="1:11" ht="62.25" customHeight="1" x14ac:dyDescent="0.3">
      <c r="A8" s="96">
        <v>5</v>
      </c>
      <c r="B8" s="97" t="s">
        <v>662</v>
      </c>
      <c r="C8" s="98">
        <v>4700024222</v>
      </c>
      <c r="D8" s="99" t="s">
        <v>628</v>
      </c>
      <c r="E8" s="99" t="s">
        <v>610</v>
      </c>
      <c r="F8" s="100">
        <v>45482</v>
      </c>
      <c r="G8" s="100">
        <v>46576</v>
      </c>
      <c r="H8" s="101" t="s">
        <v>595</v>
      </c>
      <c r="J8" s="94"/>
    </row>
    <row r="9" spans="1:11" ht="62.25" customHeight="1" x14ac:dyDescent="0.3">
      <c r="A9" s="96">
        <v>6</v>
      </c>
      <c r="B9" s="97" t="s">
        <v>662</v>
      </c>
      <c r="C9" s="98">
        <v>4700024130</v>
      </c>
      <c r="D9" s="99" t="s">
        <v>588</v>
      </c>
      <c r="E9" s="99" t="s">
        <v>612</v>
      </c>
      <c r="F9" s="100">
        <v>45505</v>
      </c>
      <c r="G9" s="100">
        <v>47330</v>
      </c>
      <c r="H9" s="101" t="s">
        <v>595</v>
      </c>
      <c r="J9" s="94"/>
    </row>
    <row r="10" spans="1:11" ht="42" customHeight="1" x14ac:dyDescent="0.3">
      <c r="A10" s="96">
        <v>7</v>
      </c>
      <c r="B10" s="97" t="s">
        <v>662</v>
      </c>
      <c r="C10" s="98">
        <v>4700024205</v>
      </c>
      <c r="D10" s="99" t="s">
        <v>587</v>
      </c>
      <c r="E10" s="99" t="s">
        <v>613</v>
      </c>
      <c r="F10" s="100">
        <v>45525</v>
      </c>
      <c r="G10" s="100">
        <v>45889</v>
      </c>
      <c r="H10" s="101" t="s">
        <v>595</v>
      </c>
      <c r="J10" s="94"/>
    </row>
    <row r="11" spans="1:11" ht="42" customHeight="1" x14ac:dyDescent="0.3">
      <c r="A11" s="96">
        <v>8</v>
      </c>
      <c r="B11" s="97" t="s">
        <v>662</v>
      </c>
      <c r="C11" s="98">
        <v>4700024460</v>
      </c>
      <c r="D11" s="99" t="s">
        <v>600</v>
      </c>
      <c r="E11" s="99" t="s">
        <v>614</v>
      </c>
      <c r="F11" s="100">
        <v>45551</v>
      </c>
      <c r="G11" s="100">
        <v>46645</v>
      </c>
      <c r="H11" s="101" t="s">
        <v>595</v>
      </c>
      <c r="J11" s="94"/>
    </row>
    <row r="12" spans="1:11" ht="63.75" customHeight="1" x14ac:dyDescent="0.3">
      <c r="A12" s="96">
        <v>9</v>
      </c>
      <c r="B12" s="97" t="s">
        <v>662</v>
      </c>
      <c r="C12" s="98">
        <v>4700025503</v>
      </c>
      <c r="D12" s="99" t="s">
        <v>587</v>
      </c>
      <c r="E12" s="99" t="s">
        <v>617</v>
      </c>
      <c r="F12" s="100">
        <v>45672</v>
      </c>
      <c r="G12" s="100">
        <v>46766</v>
      </c>
      <c r="H12" s="101" t="s">
        <v>595</v>
      </c>
      <c r="J12" s="94"/>
    </row>
    <row r="13" spans="1:11" ht="57" customHeight="1" x14ac:dyDescent="0.3">
      <c r="A13" s="96">
        <v>10</v>
      </c>
      <c r="B13" s="97" t="s">
        <v>662</v>
      </c>
      <c r="C13" s="98">
        <v>4700026047</v>
      </c>
      <c r="D13" s="99" t="s">
        <v>584</v>
      </c>
      <c r="E13" s="99" t="s">
        <v>598</v>
      </c>
      <c r="F13" s="100">
        <v>45726</v>
      </c>
      <c r="G13" s="100">
        <v>46062</v>
      </c>
      <c r="H13" s="101" t="s">
        <v>595</v>
      </c>
      <c r="J13" s="94"/>
    </row>
    <row r="14" spans="1:11" ht="57" customHeight="1" x14ac:dyDescent="0.3">
      <c r="A14" s="96">
        <v>11</v>
      </c>
      <c r="B14" s="97" t="s">
        <v>662</v>
      </c>
      <c r="C14" s="98"/>
      <c r="D14" s="99" t="s">
        <v>630</v>
      </c>
      <c r="E14" s="99" t="s">
        <v>599</v>
      </c>
      <c r="F14" s="100"/>
      <c r="G14" s="100"/>
      <c r="H14" s="101" t="s">
        <v>595</v>
      </c>
      <c r="J14" s="94"/>
    </row>
    <row r="15" spans="1:11" ht="57" customHeight="1" x14ac:dyDescent="0.3">
      <c r="A15" s="96">
        <v>12</v>
      </c>
      <c r="B15" s="97" t="s">
        <v>662</v>
      </c>
      <c r="C15" s="98"/>
      <c r="D15" s="99" t="s">
        <v>602</v>
      </c>
      <c r="E15" s="99" t="s">
        <v>621</v>
      </c>
      <c r="F15" s="100">
        <v>45818</v>
      </c>
      <c r="G15" s="100"/>
      <c r="H15" s="101" t="s">
        <v>595</v>
      </c>
      <c r="J15" s="94"/>
      <c r="K15" s="2"/>
    </row>
    <row r="16" spans="1:11" ht="57" customHeight="1" x14ac:dyDescent="0.3">
      <c r="A16" s="96">
        <v>13</v>
      </c>
      <c r="B16" s="97" t="s">
        <v>662</v>
      </c>
      <c r="C16" s="98">
        <v>4700027187</v>
      </c>
      <c r="D16" s="99" t="s">
        <v>587</v>
      </c>
      <c r="E16" s="99" t="s">
        <v>631</v>
      </c>
      <c r="F16" s="100">
        <v>45861</v>
      </c>
      <c r="G16" s="100">
        <v>45866</v>
      </c>
      <c r="H16" s="101" t="s">
        <v>595</v>
      </c>
      <c r="J16" s="94"/>
    </row>
    <row r="17" spans="1:11" ht="57" customHeight="1" x14ac:dyDescent="0.3">
      <c r="A17" s="96">
        <v>14</v>
      </c>
      <c r="B17" s="97" t="s">
        <v>662</v>
      </c>
      <c r="C17" s="98">
        <v>4700027310</v>
      </c>
      <c r="D17" s="99" t="s">
        <v>587</v>
      </c>
      <c r="E17" s="99" t="s">
        <v>632</v>
      </c>
      <c r="F17" s="100">
        <v>45919</v>
      </c>
      <c r="G17" s="100">
        <v>47379</v>
      </c>
      <c r="H17" s="101" t="s">
        <v>595</v>
      </c>
      <c r="J17" s="94"/>
    </row>
    <row r="18" spans="1:11" s="91" customFormat="1" ht="57" customHeight="1" x14ac:dyDescent="0.3">
      <c r="A18" s="96">
        <v>15</v>
      </c>
      <c r="B18" s="97" t="s">
        <v>662</v>
      </c>
      <c r="C18" s="98">
        <v>4700027340</v>
      </c>
      <c r="D18" s="99" t="s">
        <v>587</v>
      </c>
      <c r="E18" s="99" t="s">
        <v>635</v>
      </c>
      <c r="F18" s="100">
        <v>45869</v>
      </c>
      <c r="G18" s="100">
        <v>46964</v>
      </c>
      <c r="H18" s="101" t="s">
        <v>595</v>
      </c>
      <c r="J18" s="94"/>
    </row>
    <row r="19" spans="1:11" s="91" customFormat="1" ht="57" customHeight="1" x14ac:dyDescent="0.3">
      <c r="A19" s="96">
        <v>16</v>
      </c>
      <c r="B19" s="97" t="s">
        <v>662</v>
      </c>
      <c r="C19" s="98">
        <v>4700027704</v>
      </c>
      <c r="D19" s="99" t="s">
        <v>587</v>
      </c>
      <c r="E19" s="99" t="s">
        <v>633</v>
      </c>
      <c r="F19" s="100">
        <v>45931</v>
      </c>
      <c r="G19" s="100">
        <v>47391</v>
      </c>
      <c r="H19" s="101" t="s">
        <v>595</v>
      </c>
      <c r="J19" s="94"/>
    </row>
    <row r="20" spans="1:11" s="91" customFormat="1" ht="57" customHeight="1" x14ac:dyDescent="0.3">
      <c r="A20" s="96">
        <v>17</v>
      </c>
      <c r="B20" s="97" t="s">
        <v>662</v>
      </c>
      <c r="C20" s="98">
        <v>4700027703</v>
      </c>
      <c r="D20" s="99" t="s">
        <v>587</v>
      </c>
      <c r="E20" s="99" t="s">
        <v>634</v>
      </c>
      <c r="F20" s="100">
        <v>45931</v>
      </c>
      <c r="G20" s="100">
        <v>47391</v>
      </c>
      <c r="H20" s="101" t="s">
        <v>595</v>
      </c>
      <c r="J20" s="94"/>
    </row>
    <row r="21" spans="1:11" ht="57" customHeight="1" x14ac:dyDescent="0.3">
      <c r="A21" s="96">
        <v>18</v>
      </c>
      <c r="B21" s="97" t="s">
        <v>662</v>
      </c>
      <c r="C21" s="98">
        <v>4700028073</v>
      </c>
      <c r="D21" s="99" t="s">
        <v>587</v>
      </c>
      <c r="E21" s="99" t="s">
        <v>656</v>
      </c>
      <c r="F21" s="100">
        <v>45972</v>
      </c>
      <c r="G21" s="100">
        <v>47432</v>
      </c>
      <c r="H21" s="101" t="s">
        <v>595</v>
      </c>
      <c r="J21" s="95"/>
      <c r="K21" s="92"/>
    </row>
    <row r="22" spans="1:11" s="90" customFormat="1" ht="62.4" customHeight="1" x14ac:dyDescent="0.3">
      <c r="A22" s="96">
        <v>19</v>
      </c>
      <c r="B22" s="97" t="s">
        <v>662</v>
      </c>
      <c r="C22" s="98">
        <v>4700028578</v>
      </c>
      <c r="D22" s="99" t="s">
        <v>587</v>
      </c>
      <c r="E22" s="99" t="s">
        <v>666</v>
      </c>
      <c r="F22" s="100">
        <v>46045</v>
      </c>
      <c r="G22" s="100">
        <v>47141</v>
      </c>
      <c r="H22" s="101" t="s">
        <v>595</v>
      </c>
      <c r="J22" s="94"/>
    </row>
    <row r="23" spans="1:11" s="90" customFormat="1" ht="62.4" customHeight="1" x14ac:dyDescent="0.3">
      <c r="A23" s="96">
        <v>20</v>
      </c>
      <c r="B23" s="97" t="s">
        <v>662</v>
      </c>
      <c r="C23" s="98">
        <v>4700028692</v>
      </c>
      <c r="D23" s="99" t="s">
        <v>600</v>
      </c>
      <c r="E23" s="102" t="s">
        <v>668</v>
      </c>
      <c r="F23" s="100">
        <v>46057</v>
      </c>
      <c r="G23" s="100">
        <v>47152</v>
      </c>
      <c r="H23" s="101" t="s">
        <v>595</v>
      </c>
      <c r="J23" s="94"/>
    </row>
    <row r="24" spans="1:11" s="90" customFormat="1" ht="62.4" customHeight="1" x14ac:dyDescent="0.3">
      <c r="A24" s="96">
        <v>21</v>
      </c>
      <c r="B24" s="97" t="s">
        <v>662</v>
      </c>
      <c r="C24" s="98">
        <v>4700028796</v>
      </c>
      <c r="D24" s="99" t="s">
        <v>600</v>
      </c>
      <c r="E24" s="102" t="s">
        <v>669</v>
      </c>
      <c r="F24" s="100">
        <v>46057</v>
      </c>
      <c r="G24" s="100">
        <v>47152</v>
      </c>
      <c r="H24" s="101" t="s">
        <v>595</v>
      </c>
      <c r="J24" s="94"/>
    </row>
    <row r="25" spans="1:11" s="90" customFormat="1" ht="62.4" customHeight="1" x14ac:dyDescent="0.3">
      <c r="A25" s="96">
        <v>22</v>
      </c>
      <c r="B25" s="97" t="s">
        <v>662</v>
      </c>
      <c r="C25" s="98">
        <v>4700028844</v>
      </c>
      <c r="D25" s="99" t="s">
        <v>600</v>
      </c>
      <c r="E25" s="102" t="s">
        <v>670</v>
      </c>
      <c r="F25" s="100">
        <v>46064</v>
      </c>
      <c r="G25" s="100">
        <v>47159</v>
      </c>
      <c r="H25" s="101" t="s">
        <v>595</v>
      </c>
      <c r="J25" s="94"/>
    </row>
    <row r="26" spans="1:11" s="90" customFormat="1" ht="62.4" customHeight="1" x14ac:dyDescent="0.3">
      <c r="A26" s="96">
        <v>23</v>
      </c>
      <c r="B26" s="97" t="s">
        <v>662</v>
      </c>
      <c r="C26" s="98">
        <v>4700028850</v>
      </c>
      <c r="D26" s="99" t="s">
        <v>600</v>
      </c>
      <c r="E26" s="102" t="s">
        <v>671</v>
      </c>
      <c r="F26" s="100">
        <v>46065</v>
      </c>
      <c r="G26" s="100">
        <v>47160</v>
      </c>
      <c r="H26" s="101" t="s">
        <v>595</v>
      </c>
      <c r="J26" s="94"/>
    </row>
    <row r="27" spans="1:11" s="90" customFormat="1" ht="62.4" customHeight="1" x14ac:dyDescent="0.3">
      <c r="A27" s="96">
        <v>24</v>
      </c>
      <c r="B27" s="97" t="s">
        <v>662</v>
      </c>
      <c r="C27" s="98">
        <v>4700028940</v>
      </c>
      <c r="D27" s="99" t="s">
        <v>589</v>
      </c>
      <c r="E27" s="102" t="s">
        <v>673</v>
      </c>
      <c r="F27" s="100">
        <v>46003</v>
      </c>
      <c r="G27" s="100">
        <v>47098</v>
      </c>
      <c r="H27" s="101" t="s">
        <v>595</v>
      </c>
      <c r="J27" s="94"/>
    </row>
    <row r="28" spans="1:11" s="90" customFormat="1" ht="62.4" customHeight="1" x14ac:dyDescent="0.3">
      <c r="A28" s="96">
        <v>25</v>
      </c>
      <c r="B28" s="97" t="s">
        <v>662</v>
      </c>
      <c r="C28" s="99">
        <v>4700029205</v>
      </c>
      <c r="D28" s="107" t="s">
        <v>587</v>
      </c>
      <c r="E28" s="102" t="s">
        <v>681</v>
      </c>
      <c r="F28" s="100">
        <v>46132</v>
      </c>
      <c r="G28" s="100">
        <v>47227</v>
      </c>
      <c r="H28" s="101" t="s">
        <v>595</v>
      </c>
      <c r="J28" s="94"/>
    </row>
    <row r="29" spans="1:11" ht="57" customHeight="1" x14ac:dyDescent="0.3">
      <c r="A29" s="125">
        <v>26</v>
      </c>
      <c r="B29" s="126" t="s">
        <v>662</v>
      </c>
      <c r="C29" s="127" t="s">
        <v>652</v>
      </c>
      <c r="D29" s="128" t="s">
        <v>653</v>
      </c>
      <c r="E29" s="128" t="s">
        <v>654</v>
      </c>
      <c r="F29" s="129">
        <v>45783</v>
      </c>
      <c r="G29" s="129">
        <v>0</v>
      </c>
      <c r="H29" s="124" t="s">
        <v>655</v>
      </c>
      <c r="J29" s="94"/>
    </row>
    <row r="30" spans="1:11" ht="57" customHeight="1" x14ac:dyDescent="0.3">
      <c r="A30" s="96">
        <v>27</v>
      </c>
      <c r="B30" s="97" t="s">
        <v>662</v>
      </c>
      <c r="C30" s="99">
        <v>4700029438</v>
      </c>
      <c r="D30" s="99" t="s">
        <v>584</v>
      </c>
      <c r="E30" s="99" t="s">
        <v>598</v>
      </c>
      <c r="F30" s="129">
        <v>46142</v>
      </c>
      <c r="G30" s="129">
        <v>47237</v>
      </c>
      <c r="H30" s="101" t="s">
        <v>595</v>
      </c>
    </row>
    <row r="31" spans="1:11" ht="57" customHeight="1" x14ac:dyDescent="0.35">
      <c r="A31" s="96">
        <v>28</v>
      </c>
      <c r="B31" s="97" t="s">
        <v>662</v>
      </c>
      <c r="C31" s="99">
        <v>4700029378</v>
      </c>
      <c r="D31" s="99" t="s">
        <v>584</v>
      </c>
      <c r="E31" s="99" t="s">
        <v>689</v>
      </c>
      <c r="F31" s="129">
        <v>46132</v>
      </c>
      <c r="G31" s="123"/>
      <c r="H31" s="101" t="s">
        <v>595</v>
      </c>
    </row>
    <row r="32" spans="1:11" ht="57" customHeight="1" x14ac:dyDescent="0.3">
      <c r="A32" s="96">
        <v>29</v>
      </c>
      <c r="B32" s="97" t="s">
        <v>662</v>
      </c>
      <c r="C32" s="99">
        <v>4700029205</v>
      </c>
      <c r="D32" s="107" t="s">
        <v>587</v>
      </c>
      <c r="E32" s="99" t="s">
        <v>690</v>
      </c>
      <c r="F32" s="129">
        <v>46132</v>
      </c>
      <c r="G32" s="129">
        <v>47227</v>
      </c>
      <c r="H32" s="101" t="s">
        <v>595</v>
      </c>
    </row>
    <row r="33" spans="1:8" ht="57" customHeight="1" x14ac:dyDescent="0.35">
      <c r="A33" s="121"/>
      <c r="B33" s="121"/>
      <c r="C33" s="121"/>
      <c r="D33" s="121"/>
      <c r="E33" s="122"/>
      <c r="F33" s="123"/>
      <c r="G33" s="123"/>
      <c r="H33" s="123"/>
    </row>
  </sheetData>
  <autoFilter ref="A3:H29" xr:uid="{00000000-0001-0000-0000-000000000000}"/>
  <mergeCells count="3">
    <mergeCell ref="A1:H1"/>
    <mergeCell ref="A2:A3"/>
    <mergeCell ref="B2:G2"/>
  </mergeCells>
  <conditionalFormatting sqref="H1:H1048576">
    <cfRule type="cellIs" dxfId="9" priority="1" operator="equal">
      <formula>"ONGOING"</formula>
    </cfRule>
    <cfRule type="containsText" dxfId="8" priority="2" operator="containsText" text="AWARDED">
      <formula>NOT(ISERROR(SEARCH("AWARDED",H1)))</formula>
    </cfRule>
  </conditionalFormatting>
  <conditionalFormatting sqref="H3:H1048576">
    <cfRule type="cellIs" dxfId="7" priority="3" operator="equal">
      <formula>"ON HOLD"</formula>
    </cfRule>
    <cfRule type="cellIs" dxfId="6" priority="4" operator="equal">
      <formula>"ONGOING"</formula>
    </cfRule>
    <cfRule type="cellIs" dxfId="5" priority="5" operator="equal">
      <formula>"COMPLETED"</formula>
    </cfRule>
  </conditionalFormatting>
  <pageMargins left="0.25" right="0.25" top="0.25" bottom="0.25" header="0.3" footer="0.3"/>
  <pageSetup paperSize="8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31"/>
  <sheetViews>
    <sheetView tabSelected="1" view="pageBreakPreview" zoomScale="55" zoomScaleNormal="55" zoomScaleSheetLayoutView="55" workbookViewId="0">
      <pane xSplit="7" ySplit="3" topLeftCell="H40" activePane="bottomRight" state="frozen"/>
      <selection pane="topRight" activeCell="J1" sqref="J1"/>
      <selection pane="bottomLeft" activeCell="A4" sqref="A4"/>
      <selection pane="bottomRight" activeCell="A31" activeCellId="1" sqref="A32:XFD32 A31:XFD31"/>
    </sheetView>
  </sheetViews>
  <sheetFormatPr defaultRowHeight="18" x14ac:dyDescent="0.35"/>
  <cols>
    <col min="1" max="1" width="17" customWidth="1"/>
    <col min="2" max="2" width="26.6640625" customWidth="1"/>
    <col min="3" max="3" width="83" bestFit="1" customWidth="1"/>
    <col min="4" max="4" width="51.33203125" bestFit="1" customWidth="1"/>
    <col min="5" max="5" width="85.88671875" style="88" bestFit="1" customWidth="1"/>
    <col min="6" max="6" width="18.6640625" style="89" customWidth="1"/>
    <col min="7" max="7" width="18.33203125" style="89" customWidth="1"/>
    <col min="8" max="8" width="23.5546875" style="89" customWidth="1"/>
    <col min="9" max="9" width="23.44140625" customWidth="1"/>
    <col min="10" max="10" width="23.44140625" style="93" customWidth="1"/>
    <col min="11" max="12" width="16" bestFit="1" customWidth="1"/>
  </cols>
  <sheetData>
    <row r="1" spans="1:15" ht="151.5" customHeight="1" thickBot="1" x14ac:dyDescent="0.35">
      <c r="A1" s="108" t="s">
        <v>685</v>
      </c>
      <c r="B1" s="109"/>
      <c r="C1" s="109"/>
      <c r="D1" s="109"/>
      <c r="E1" s="109"/>
      <c r="F1" s="109"/>
      <c r="G1" s="109"/>
      <c r="H1" s="110"/>
    </row>
    <row r="2" spans="1:15" ht="45" customHeight="1" x14ac:dyDescent="0.3">
      <c r="A2" s="111" t="s">
        <v>0</v>
      </c>
      <c r="B2" s="113" t="s">
        <v>665</v>
      </c>
      <c r="C2" s="114"/>
      <c r="D2" s="114"/>
      <c r="E2" s="114"/>
      <c r="F2" s="114"/>
      <c r="G2" s="114"/>
      <c r="H2" s="103"/>
    </row>
    <row r="3" spans="1:15" ht="108" customHeight="1" thickBot="1" x14ac:dyDescent="0.35">
      <c r="A3" s="112"/>
      <c r="B3" s="104" t="s">
        <v>661</v>
      </c>
      <c r="C3" s="105" t="s">
        <v>512</v>
      </c>
      <c r="D3" s="105" t="s">
        <v>1</v>
      </c>
      <c r="E3" s="105" t="s">
        <v>2</v>
      </c>
      <c r="F3" s="105" t="s">
        <v>3</v>
      </c>
      <c r="G3" s="105" t="s">
        <v>4</v>
      </c>
      <c r="H3" s="106" t="s">
        <v>597</v>
      </c>
      <c r="J3" s="94"/>
    </row>
    <row r="4" spans="1:15" ht="75.599999999999994" customHeight="1" x14ac:dyDescent="0.3">
      <c r="A4" s="96">
        <v>1</v>
      </c>
      <c r="B4" s="97" t="s">
        <v>663</v>
      </c>
      <c r="C4" s="98">
        <v>4700021477</v>
      </c>
      <c r="D4" s="99" t="s">
        <v>622</v>
      </c>
      <c r="E4" s="99" t="s">
        <v>603</v>
      </c>
      <c r="F4" s="100">
        <v>45230</v>
      </c>
      <c r="G4" s="100">
        <v>46325</v>
      </c>
      <c r="H4" s="101" t="s">
        <v>595</v>
      </c>
      <c r="J4" s="94"/>
    </row>
    <row r="5" spans="1:15" ht="42" customHeight="1" x14ac:dyDescent="0.3">
      <c r="A5" s="96">
        <v>2</v>
      </c>
      <c r="B5" s="97" t="s">
        <v>663</v>
      </c>
      <c r="C5" s="98" t="s">
        <v>566</v>
      </c>
      <c r="D5" s="99" t="s">
        <v>623</v>
      </c>
      <c r="E5" s="99" t="s">
        <v>565</v>
      </c>
      <c r="F5" s="100">
        <v>45281</v>
      </c>
      <c r="G5" s="100">
        <v>46022</v>
      </c>
      <c r="H5" s="101" t="s">
        <v>595</v>
      </c>
      <c r="J5" s="94"/>
    </row>
    <row r="6" spans="1:15" ht="55.5" customHeight="1" x14ac:dyDescent="0.3">
      <c r="A6" s="96">
        <v>3</v>
      </c>
      <c r="B6" s="97" t="s">
        <v>663</v>
      </c>
      <c r="C6" s="98">
        <v>4700016893</v>
      </c>
      <c r="D6" s="99" t="s">
        <v>583</v>
      </c>
      <c r="E6" s="99" t="s">
        <v>604</v>
      </c>
      <c r="F6" s="100">
        <v>44936</v>
      </c>
      <c r="G6" s="100">
        <v>46031</v>
      </c>
      <c r="H6" s="101" t="s">
        <v>595</v>
      </c>
      <c r="J6" s="94"/>
    </row>
    <row r="7" spans="1:15" ht="42" customHeight="1" x14ac:dyDescent="0.3">
      <c r="A7" s="96">
        <v>4</v>
      </c>
      <c r="B7" s="97" t="s">
        <v>663</v>
      </c>
      <c r="C7" s="98">
        <v>4700022455</v>
      </c>
      <c r="D7" s="99" t="s">
        <v>624</v>
      </c>
      <c r="E7" s="99" t="s">
        <v>605</v>
      </c>
      <c r="F7" s="100">
        <v>45314</v>
      </c>
      <c r="G7" s="100">
        <v>45679</v>
      </c>
      <c r="H7" s="101" t="s">
        <v>595</v>
      </c>
      <c r="J7" s="94"/>
    </row>
    <row r="8" spans="1:15" ht="62.25" customHeight="1" x14ac:dyDescent="0.3">
      <c r="A8" s="96">
        <v>5</v>
      </c>
      <c r="B8" s="97" t="s">
        <v>663</v>
      </c>
      <c r="C8" s="99" t="s">
        <v>594</v>
      </c>
      <c r="D8" s="99" t="s">
        <v>626</v>
      </c>
      <c r="E8" s="99" t="s">
        <v>608</v>
      </c>
      <c r="F8" s="100"/>
      <c r="G8" s="100"/>
      <c r="H8" s="101" t="s">
        <v>596</v>
      </c>
      <c r="J8" s="94"/>
    </row>
    <row r="9" spans="1:15" ht="62.25" customHeight="1" x14ac:dyDescent="0.3">
      <c r="A9" s="96">
        <v>6</v>
      </c>
      <c r="B9" s="97" t="s">
        <v>663</v>
      </c>
      <c r="C9" s="98">
        <v>4700024164</v>
      </c>
      <c r="D9" s="99" t="s">
        <v>585</v>
      </c>
      <c r="E9" s="99" t="s">
        <v>611</v>
      </c>
      <c r="F9" s="100">
        <v>45505</v>
      </c>
      <c r="G9" s="100">
        <v>45869</v>
      </c>
      <c r="H9" s="101" t="s">
        <v>596</v>
      </c>
      <c r="J9" s="94"/>
    </row>
    <row r="10" spans="1:15" ht="88.2" customHeight="1" x14ac:dyDescent="0.3">
      <c r="A10" s="96">
        <v>7</v>
      </c>
      <c r="B10" s="97" t="s">
        <v>663</v>
      </c>
      <c r="C10" s="98">
        <v>4700024692</v>
      </c>
      <c r="D10" s="99" t="s">
        <v>586</v>
      </c>
      <c r="E10" s="99" t="s">
        <v>615</v>
      </c>
      <c r="F10" s="100">
        <v>45586</v>
      </c>
      <c r="G10" s="100">
        <v>46132</v>
      </c>
      <c r="H10" s="101" t="s">
        <v>595</v>
      </c>
      <c r="J10" s="94"/>
    </row>
    <row r="11" spans="1:15" ht="42" customHeight="1" x14ac:dyDescent="0.3">
      <c r="A11" s="96">
        <v>8</v>
      </c>
      <c r="B11" s="97" t="s">
        <v>663</v>
      </c>
      <c r="C11" s="98">
        <v>4700025296</v>
      </c>
      <c r="D11" s="99" t="s">
        <v>584</v>
      </c>
      <c r="E11" s="99" t="s">
        <v>616</v>
      </c>
      <c r="F11" s="100">
        <v>45614</v>
      </c>
      <c r="G11" s="100">
        <v>45978</v>
      </c>
      <c r="H11" s="101" t="s">
        <v>595</v>
      </c>
      <c r="J11" s="94"/>
    </row>
    <row r="12" spans="1:15" ht="63.75" customHeight="1" x14ac:dyDescent="0.3">
      <c r="A12" s="96">
        <v>9</v>
      </c>
      <c r="B12" s="97" t="s">
        <v>663</v>
      </c>
      <c r="C12" s="98">
        <v>4700025333</v>
      </c>
      <c r="D12" s="99" t="s">
        <v>586</v>
      </c>
      <c r="E12" s="99" t="s">
        <v>590</v>
      </c>
      <c r="F12" s="100">
        <v>45642</v>
      </c>
      <c r="G12" s="100">
        <v>46736</v>
      </c>
      <c r="H12" s="101" t="s">
        <v>595</v>
      </c>
      <c r="J12" s="94"/>
    </row>
    <row r="13" spans="1:15" ht="63.75" customHeight="1" x14ac:dyDescent="0.3">
      <c r="A13" s="96">
        <v>10</v>
      </c>
      <c r="B13" s="97" t="s">
        <v>663</v>
      </c>
      <c r="C13" s="98">
        <v>1506744</v>
      </c>
      <c r="D13" s="99" t="s">
        <v>591</v>
      </c>
      <c r="E13" s="99" t="s">
        <v>592</v>
      </c>
      <c r="F13" s="100">
        <v>45639</v>
      </c>
      <c r="G13" s="100"/>
      <c r="H13" s="101" t="s">
        <v>595</v>
      </c>
      <c r="J13" s="94"/>
    </row>
    <row r="14" spans="1:15" ht="63.75" customHeight="1" x14ac:dyDescent="0.3">
      <c r="A14" s="96">
        <v>11</v>
      </c>
      <c r="B14" s="97" t="s">
        <v>663</v>
      </c>
      <c r="C14" s="98" t="s">
        <v>674</v>
      </c>
      <c r="D14" s="99" t="s">
        <v>593</v>
      </c>
      <c r="E14" s="99" t="s">
        <v>675</v>
      </c>
      <c r="F14" s="100">
        <v>45665</v>
      </c>
      <c r="G14" s="100">
        <v>46122</v>
      </c>
      <c r="H14" s="101" t="s">
        <v>595</v>
      </c>
      <c r="J14" s="94"/>
    </row>
    <row r="15" spans="1:15" ht="57" customHeight="1" x14ac:dyDescent="0.3">
      <c r="A15" s="96">
        <v>12</v>
      </c>
      <c r="B15" s="97" t="s">
        <v>663</v>
      </c>
      <c r="C15" s="98">
        <v>33576</v>
      </c>
      <c r="D15" s="99" t="s">
        <v>629</v>
      </c>
      <c r="E15" s="99" t="s">
        <v>618</v>
      </c>
      <c r="F15" s="100">
        <v>45720</v>
      </c>
      <c r="G15" s="100">
        <v>45751</v>
      </c>
      <c r="H15" s="101" t="s">
        <v>595</v>
      </c>
      <c r="J15" s="94"/>
    </row>
    <row r="16" spans="1:15" ht="72" customHeight="1" x14ac:dyDescent="0.3">
      <c r="A16" s="96">
        <v>13</v>
      </c>
      <c r="B16" s="97" t="s">
        <v>663</v>
      </c>
      <c r="C16" s="98">
        <v>33536</v>
      </c>
      <c r="D16" s="99" t="s">
        <v>629</v>
      </c>
      <c r="E16" s="99" t="s">
        <v>619</v>
      </c>
      <c r="F16" s="100">
        <v>45712</v>
      </c>
      <c r="G16" s="100">
        <v>45730</v>
      </c>
      <c r="H16" s="101" t="s">
        <v>595</v>
      </c>
      <c r="J16" s="94"/>
      <c r="L16" s="2"/>
      <c r="M16" s="2"/>
      <c r="N16" s="2"/>
      <c r="O16" s="2"/>
    </row>
    <row r="17" spans="1:10" ht="57" customHeight="1" x14ac:dyDescent="0.3">
      <c r="A17" s="96">
        <v>14</v>
      </c>
      <c r="B17" s="97" t="s">
        <v>663</v>
      </c>
      <c r="C17" s="98"/>
      <c r="D17" s="99" t="s">
        <v>601</v>
      </c>
      <c r="E17" s="99" t="s">
        <v>620</v>
      </c>
      <c r="F17" s="100">
        <v>45776</v>
      </c>
      <c r="G17" s="100">
        <v>46871</v>
      </c>
      <c r="H17" s="101" t="s">
        <v>595</v>
      </c>
      <c r="J17" s="94"/>
    </row>
    <row r="18" spans="1:10" ht="57" customHeight="1" x14ac:dyDescent="0.3">
      <c r="A18" s="96">
        <v>15</v>
      </c>
      <c r="B18" s="97" t="s">
        <v>663</v>
      </c>
      <c r="C18" s="98">
        <v>4700027595</v>
      </c>
      <c r="D18" s="99" t="s">
        <v>585</v>
      </c>
      <c r="E18" s="99" t="s">
        <v>636</v>
      </c>
      <c r="F18" s="100">
        <v>45910</v>
      </c>
      <c r="G18" s="100">
        <v>45971</v>
      </c>
      <c r="H18" s="101" t="s">
        <v>595</v>
      </c>
      <c r="J18" s="94"/>
    </row>
    <row r="19" spans="1:10" ht="57" customHeight="1" x14ac:dyDescent="0.3">
      <c r="A19" s="96">
        <v>16</v>
      </c>
      <c r="B19" s="97" t="s">
        <v>663</v>
      </c>
      <c r="C19" s="98">
        <v>4700027947</v>
      </c>
      <c r="D19" s="99" t="s">
        <v>638</v>
      </c>
      <c r="E19" s="99" t="s">
        <v>637</v>
      </c>
      <c r="F19" s="100">
        <v>45950</v>
      </c>
      <c r="G19" s="100">
        <v>46406</v>
      </c>
      <c r="H19" s="101" t="s">
        <v>595</v>
      </c>
      <c r="J19" s="94"/>
    </row>
    <row r="20" spans="1:10" ht="66.599999999999994" customHeight="1" x14ac:dyDescent="0.3">
      <c r="A20" s="96">
        <v>17</v>
      </c>
      <c r="B20" s="97" t="s">
        <v>663</v>
      </c>
      <c r="C20" s="98">
        <v>6000105403</v>
      </c>
      <c r="D20" s="99" t="s">
        <v>659</v>
      </c>
      <c r="E20" s="99" t="s">
        <v>660</v>
      </c>
      <c r="F20" s="100">
        <v>46002</v>
      </c>
      <c r="G20" s="100">
        <v>46731</v>
      </c>
      <c r="H20" s="101" t="s">
        <v>595</v>
      </c>
      <c r="J20" s="94"/>
    </row>
    <row r="21" spans="1:10" s="90" customFormat="1" ht="62.4" customHeight="1" x14ac:dyDescent="0.3">
      <c r="A21" s="96">
        <v>18</v>
      </c>
      <c r="B21" s="97" t="s">
        <v>663</v>
      </c>
      <c r="C21" s="98" t="s">
        <v>667</v>
      </c>
      <c r="D21" s="99" t="s">
        <v>658</v>
      </c>
      <c r="E21" s="99" t="s">
        <v>657</v>
      </c>
      <c r="F21" s="100">
        <v>45985</v>
      </c>
      <c r="G21" s="100"/>
      <c r="H21" s="101" t="s">
        <v>595</v>
      </c>
      <c r="J21" s="94"/>
    </row>
    <row r="22" spans="1:10" s="90" customFormat="1" ht="62.4" customHeight="1" x14ac:dyDescent="0.3">
      <c r="A22" s="96">
        <v>19</v>
      </c>
      <c r="B22" s="97" t="s">
        <v>663</v>
      </c>
      <c r="C22" s="98">
        <v>4700028537</v>
      </c>
      <c r="D22" s="99" t="s">
        <v>584</v>
      </c>
      <c r="E22" s="99" t="s">
        <v>672</v>
      </c>
      <c r="F22" s="100">
        <v>46054</v>
      </c>
      <c r="G22" s="100">
        <v>46965</v>
      </c>
      <c r="H22" s="101" t="s">
        <v>595</v>
      </c>
      <c r="J22" s="94"/>
    </row>
    <row r="23" spans="1:10" s="90" customFormat="1" ht="62.4" customHeight="1" x14ac:dyDescent="0.3">
      <c r="A23" s="96">
        <v>20</v>
      </c>
      <c r="B23" s="97" t="s">
        <v>663</v>
      </c>
      <c r="C23" s="98" t="s">
        <v>680</v>
      </c>
      <c r="D23" s="99" t="s">
        <v>664</v>
      </c>
      <c r="E23" s="102" t="s">
        <v>679</v>
      </c>
      <c r="F23" s="100"/>
      <c r="G23" s="100"/>
      <c r="H23" s="101" t="s">
        <v>595</v>
      </c>
      <c r="J23" s="94"/>
    </row>
    <row r="24" spans="1:10" s="90" customFormat="1" ht="62.4" customHeight="1" x14ac:dyDescent="0.3">
      <c r="A24" s="96">
        <v>21</v>
      </c>
      <c r="B24" s="97" t="s">
        <v>663</v>
      </c>
      <c r="C24" s="99" t="s">
        <v>676</v>
      </c>
      <c r="D24" s="99" t="s">
        <v>678</v>
      </c>
      <c r="E24" s="102" t="s">
        <v>677</v>
      </c>
      <c r="F24" s="100">
        <v>46086</v>
      </c>
      <c r="G24" s="100">
        <v>46280</v>
      </c>
      <c r="H24" s="101" t="s">
        <v>595</v>
      </c>
      <c r="J24" s="94"/>
    </row>
    <row r="25" spans="1:10" s="90" customFormat="1" ht="62.4" customHeight="1" x14ac:dyDescent="0.3">
      <c r="A25" s="96">
        <v>22</v>
      </c>
      <c r="B25" s="97" t="s">
        <v>663</v>
      </c>
      <c r="C25" s="99"/>
      <c r="D25" s="107" t="s">
        <v>682</v>
      </c>
      <c r="E25" s="102" t="s">
        <v>683</v>
      </c>
      <c r="F25" s="100">
        <v>46114</v>
      </c>
      <c r="G25" s="100"/>
      <c r="H25" s="101" t="s">
        <v>595</v>
      </c>
      <c r="J25" s="94"/>
    </row>
    <row r="26" spans="1:10" ht="57" customHeight="1" x14ac:dyDescent="0.3">
      <c r="A26" s="96">
        <v>23</v>
      </c>
      <c r="B26" s="97" t="s">
        <v>663</v>
      </c>
      <c r="C26" s="98">
        <v>5300000146</v>
      </c>
      <c r="D26" s="99" t="s">
        <v>639</v>
      </c>
      <c r="E26" s="99" t="s">
        <v>640</v>
      </c>
      <c r="F26" s="100">
        <v>43499</v>
      </c>
      <c r="G26" s="100">
        <v>45506</v>
      </c>
      <c r="H26" s="101" t="s">
        <v>655</v>
      </c>
      <c r="J26" s="94"/>
    </row>
    <row r="27" spans="1:10" ht="57" customHeight="1" x14ac:dyDescent="0.3">
      <c r="A27" s="96">
        <v>24</v>
      </c>
      <c r="B27" s="97" t="s">
        <v>663</v>
      </c>
      <c r="C27" s="98">
        <v>4700017995</v>
      </c>
      <c r="D27" s="99" t="s">
        <v>641</v>
      </c>
      <c r="E27" s="99" t="s">
        <v>642</v>
      </c>
      <c r="F27" s="100">
        <v>45044</v>
      </c>
      <c r="G27" s="100">
        <v>45288</v>
      </c>
      <c r="H27" s="101" t="s">
        <v>655</v>
      </c>
      <c r="J27" s="94"/>
    </row>
    <row r="28" spans="1:10" ht="57" customHeight="1" x14ac:dyDescent="0.3">
      <c r="A28" s="96">
        <v>25</v>
      </c>
      <c r="B28" s="97" t="s">
        <v>663</v>
      </c>
      <c r="C28" s="98">
        <v>4700001562</v>
      </c>
      <c r="D28" s="99" t="s">
        <v>643</v>
      </c>
      <c r="E28" s="99" t="s">
        <v>644</v>
      </c>
      <c r="F28" s="100">
        <v>45194</v>
      </c>
      <c r="G28" s="100">
        <v>45376</v>
      </c>
      <c r="H28" s="101" t="s">
        <v>655</v>
      </c>
      <c r="J28" s="94"/>
    </row>
    <row r="29" spans="1:10" ht="88.95" customHeight="1" x14ac:dyDescent="0.3">
      <c r="A29" s="96">
        <v>26</v>
      </c>
      <c r="B29" s="97" t="s">
        <v>663</v>
      </c>
      <c r="C29" s="98" t="s">
        <v>645</v>
      </c>
      <c r="D29" s="99" t="s">
        <v>646</v>
      </c>
      <c r="E29" s="99" t="s">
        <v>647</v>
      </c>
      <c r="F29" s="100">
        <v>45271</v>
      </c>
      <c r="G29" s="100">
        <v>45322</v>
      </c>
      <c r="H29" s="101" t="s">
        <v>655</v>
      </c>
      <c r="J29" s="94"/>
    </row>
    <row r="30" spans="1:10" ht="88.95" customHeight="1" x14ac:dyDescent="0.3">
      <c r="A30" s="96">
        <v>27</v>
      </c>
      <c r="B30" s="97" t="s">
        <v>663</v>
      </c>
      <c r="C30" s="98">
        <v>20250806001</v>
      </c>
      <c r="D30" s="99" t="s">
        <v>686</v>
      </c>
      <c r="E30" s="99" t="s">
        <v>687</v>
      </c>
      <c r="F30" s="100" t="s">
        <v>688</v>
      </c>
      <c r="G30" s="100"/>
      <c r="H30" s="101" t="s">
        <v>655</v>
      </c>
      <c r="J30" s="94"/>
    </row>
    <row r="31" spans="1:10" ht="57" customHeight="1" x14ac:dyDescent="0.3">
      <c r="A31" s="96">
        <v>28</v>
      </c>
      <c r="B31" s="97" t="s">
        <v>663</v>
      </c>
      <c r="C31" s="98" t="s">
        <v>649</v>
      </c>
      <c r="D31" s="99" t="s">
        <v>650</v>
      </c>
      <c r="E31" s="99" t="s">
        <v>651</v>
      </c>
      <c r="F31" s="100" t="s">
        <v>648</v>
      </c>
      <c r="G31" s="100"/>
      <c r="H31" s="101" t="s">
        <v>655</v>
      </c>
      <c r="J31" s="94"/>
    </row>
  </sheetData>
  <autoFilter ref="A3:H31" xr:uid="{00000000-0001-0000-0000-000000000000}"/>
  <mergeCells count="3">
    <mergeCell ref="A1:H1"/>
    <mergeCell ref="A2:A3"/>
    <mergeCell ref="B2:G2"/>
  </mergeCells>
  <phoneticPr fontId="11" type="noConversion"/>
  <conditionalFormatting sqref="H1:H1048576">
    <cfRule type="cellIs" dxfId="4" priority="3" operator="equal">
      <formula>"ONGOING"</formula>
    </cfRule>
    <cfRule type="containsText" dxfId="3" priority="4" operator="containsText" text="AWARDED">
      <formula>NOT(ISERROR(SEARCH("AWARDED",H1)))</formula>
    </cfRule>
  </conditionalFormatting>
  <conditionalFormatting sqref="H3:H1048576">
    <cfRule type="cellIs" dxfId="2" priority="34" operator="equal">
      <formula>"ON HOLD"</formula>
    </cfRule>
    <cfRule type="cellIs" dxfId="1" priority="35" operator="equal">
      <formula>"ONGOING"</formula>
    </cfRule>
    <cfRule type="cellIs" dxfId="0" priority="36" operator="equal">
      <formula>"COMPLETED"</formula>
    </cfRule>
  </conditionalFormatting>
  <pageMargins left="0.25" right="0.25" top="0.25" bottom="0.25" header="0.3" footer="0.3"/>
  <pageSetup paperSize="8" scale="63" fitToHeight="0" orientation="landscape" r:id="rId1"/>
  <rowBreaks count="1" manualBreakCount="1">
    <brk id="15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D03E-3A3D-43B4-9F41-C46B8DEE9721}">
  <dimension ref="C3:H3"/>
  <sheetViews>
    <sheetView workbookViewId="0">
      <selection activeCell="C3" sqref="C3:H3"/>
    </sheetView>
  </sheetViews>
  <sheetFormatPr defaultRowHeight="14.4" x14ac:dyDescent="0.3"/>
  <sheetData>
    <row r="3" spans="3:8" x14ac:dyDescent="0.3">
      <c r="C3">
        <v>22621422.280000001</v>
      </c>
      <c r="D3">
        <v>11034748.879999999</v>
      </c>
      <c r="E3">
        <v>28072226.310000002</v>
      </c>
      <c r="F3">
        <v>40199721.270000011</v>
      </c>
      <c r="G3">
        <v>26845489.727899998</v>
      </c>
      <c r="H3">
        <v>10877068.749999998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8D15-B315-47CA-82D7-644BAA5D0B3A}">
  <dimension ref="C4:H4"/>
  <sheetViews>
    <sheetView workbookViewId="0">
      <selection activeCell="F12" sqref="F12"/>
    </sheetView>
  </sheetViews>
  <sheetFormatPr defaultRowHeight="14.4" x14ac:dyDescent="0.3"/>
  <sheetData>
    <row r="4" spans="3:8" x14ac:dyDescent="0.3">
      <c r="C4">
        <v>19637652.593125001</v>
      </c>
      <c r="D4">
        <v>6361146.8500000006</v>
      </c>
      <c r="E4">
        <v>62686767.732621707</v>
      </c>
      <c r="F4">
        <v>75655073.359425008</v>
      </c>
      <c r="G4">
        <v>43760955.213787504</v>
      </c>
      <c r="H4">
        <v>7326847.0999999996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304F-E314-4B09-971E-3CCE416FC7DF}">
  <dimension ref="A1:J21"/>
  <sheetViews>
    <sheetView topLeftCell="A16" workbookViewId="0">
      <selection activeCell="H22" sqref="H22"/>
    </sheetView>
  </sheetViews>
  <sheetFormatPr defaultRowHeight="14.4" x14ac:dyDescent="0.3"/>
  <cols>
    <col min="1" max="1" width="21.109375" bestFit="1" customWidth="1"/>
    <col min="2" max="2" width="30.109375" bestFit="1" customWidth="1"/>
    <col min="3" max="3" width="11.5546875" bestFit="1" customWidth="1"/>
    <col min="4" max="4" width="13.33203125" customWidth="1"/>
    <col min="5" max="5" width="22.6640625" customWidth="1"/>
    <col min="6" max="10" width="14.6640625" customWidth="1"/>
  </cols>
  <sheetData>
    <row r="1" spans="1:10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</row>
    <row r="2" spans="1:10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</row>
    <row r="3" spans="1:10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</row>
    <row r="4" spans="1:10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</row>
    <row r="5" spans="1:10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</row>
    <row r="6" spans="1:10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15.6" x14ac:dyDescent="0.3">
      <c r="A7" s="115" t="s">
        <v>567</v>
      </c>
      <c r="B7" s="115"/>
      <c r="C7" s="115"/>
      <c r="D7" s="14"/>
      <c r="E7" s="14"/>
      <c r="F7" s="14"/>
      <c r="G7" s="14"/>
      <c r="H7" s="14"/>
      <c r="I7" s="14"/>
      <c r="J7" s="14"/>
    </row>
    <row r="8" spans="1:10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</row>
    <row r="9" spans="1:10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</row>
    <row r="10" spans="1:10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</row>
    <row r="11" spans="1:10" x14ac:dyDescent="0.3">
      <c r="A11" s="116" t="s">
        <v>568</v>
      </c>
      <c r="B11" s="116"/>
      <c r="C11" s="116"/>
      <c r="D11" s="14"/>
      <c r="E11" s="14"/>
      <c r="F11" s="14"/>
      <c r="G11" s="14"/>
      <c r="H11" s="14"/>
      <c r="I11" s="14"/>
      <c r="J11" s="14"/>
    </row>
    <row r="12" spans="1:10" x14ac:dyDescent="0.3">
      <c r="A12" s="116" t="s">
        <v>30</v>
      </c>
      <c r="B12" s="116"/>
      <c r="C12" s="116"/>
      <c r="D12" s="14"/>
      <c r="E12" s="14"/>
      <c r="F12" s="14"/>
      <c r="G12" s="14"/>
      <c r="H12" s="14"/>
      <c r="I12" s="14"/>
      <c r="J12" s="14"/>
    </row>
    <row r="13" spans="1:10" ht="22.8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5</v>
      </c>
      <c r="I13" s="16" t="s">
        <v>22</v>
      </c>
      <c r="J13" s="16" t="s">
        <v>47</v>
      </c>
    </row>
    <row r="14" spans="1:10" ht="57" customHeight="1" x14ac:dyDescent="0.3">
      <c r="A14" s="18">
        <v>44760</v>
      </c>
      <c r="B14" s="19" t="s">
        <v>567</v>
      </c>
      <c r="C14" s="20" t="s">
        <v>13</v>
      </c>
      <c r="D14" s="21" t="s">
        <v>569</v>
      </c>
      <c r="E14" s="22" t="s">
        <v>570</v>
      </c>
      <c r="F14" s="51">
        <v>106810.01</v>
      </c>
      <c r="G14" s="52">
        <v>101723.82</v>
      </c>
      <c r="H14" s="52">
        <v>5086.1899999999996</v>
      </c>
      <c r="I14" s="25"/>
      <c r="J14" s="25"/>
    </row>
    <row r="15" spans="1:10" ht="57" customHeight="1" x14ac:dyDescent="0.3">
      <c r="A15" s="26">
        <v>44803</v>
      </c>
      <c r="B15" s="27" t="s">
        <v>567</v>
      </c>
      <c r="C15" s="28" t="s">
        <v>13</v>
      </c>
      <c r="D15" s="29" t="s">
        <v>571</v>
      </c>
      <c r="E15" s="30" t="s">
        <v>572</v>
      </c>
      <c r="F15" s="53">
        <v>105121.76</v>
      </c>
      <c r="G15" s="54">
        <v>100115.96</v>
      </c>
      <c r="H15" s="54">
        <v>5005.8</v>
      </c>
      <c r="I15" s="33"/>
      <c r="J15" s="33"/>
    </row>
    <row r="16" spans="1:10" ht="57" customHeight="1" x14ac:dyDescent="0.3">
      <c r="A16" s="26">
        <v>44837</v>
      </c>
      <c r="B16" s="27" t="s">
        <v>567</v>
      </c>
      <c r="C16" s="28" t="s">
        <v>13</v>
      </c>
      <c r="D16" s="29" t="s">
        <v>573</v>
      </c>
      <c r="E16" s="30" t="s">
        <v>574</v>
      </c>
      <c r="F16" s="53">
        <v>28125.08</v>
      </c>
      <c r="G16" s="54">
        <v>26785.79</v>
      </c>
      <c r="H16" s="54">
        <v>1339.29</v>
      </c>
      <c r="I16" s="33"/>
      <c r="J16" s="33"/>
    </row>
    <row r="17" spans="1:10" ht="57" customHeight="1" x14ac:dyDescent="0.3">
      <c r="A17" s="26">
        <v>44886</v>
      </c>
      <c r="B17" s="27" t="s">
        <v>567</v>
      </c>
      <c r="C17" s="28" t="s">
        <v>13</v>
      </c>
      <c r="D17" s="29" t="s">
        <v>575</v>
      </c>
      <c r="E17" s="30" t="s">
        <v>576</v>
      </c>
      <c r="F17" s="53">
        <v>64687.29</v>
      </c>
      <c r="G17" s="54">
        <v>61606.94</v>
      </c>
      <c r="H17" s="54">
        <v>3080.35</v>
      </c>
      <c r="I17" s="33"/>
      <c r="J17" s="33"/>
    </row>
    <row r="18" spans="1:10" ht="57" customHeight="1" x14ac:dyDescent="0.3">
      <c r="A18" s="26">
        <v>44916</v>
      </c>
      <c r="B18" s="27" t="s">
        <v>567</v>
      </c>
      <c r="C18" s="28" t="s">
        <v>13</v>
      </c>
      <c r="D18" s="29" t="s">
        <v>577</v>
      </c>
      <c r="E18" s="30" t="s">
        <v>578</v>
      </c>
      <c r="F18" s="53">
        <v>65502.99</v>
      </c>
      <c r="G18" s="54">
        <v>62383.8</v>
      </c>
      <c r="H18" s="54">
        <v>3119.19</v>
      </c>
      <c r="I18" s="33"/>
      <c r="J18" s="33"/>
    </row>
    <row r="19" spans="1:10" ht="57" customHeight="1" x14ac:dyDescent="0.3">
      <c r="A19" s="26">
        <v>44936</v>
      </c>
      <c r="B19" s="27" t="s">
        <v>567</v>
      </c>
      <c r="C19" s="28" t="s">
        <v>13</v>
      </c>
      <c r="D19" s="29" t="s">
        <v>579</v>
      </c>
      <c r="E19" s="30" t="s">
        <v>580</v>
      </c>
      <c r="F19" s="53">
        <v>55676.45</v>
      </c>
      <c r="G19" s="54">
        <v>53025.19</v>
      </c>
      <c r="H19" s="54">
        <v>2651.26</v>
      </c>
      <c r="I19" s="33"/>
      <c r="J19" s="33"/>
    </row>
    <row r="20" spans="1:10" ht="57" customHeight="1" x14ac:dyDescent="0.3">
      <c r="A20" s="26">
        <v>45002</v>
      </c>
      <c r="B20" s="27" t="s">
        <v>567</v>
      </c>
      <c r="C20" s="28" t="s">
        <v>13</v>
      </c>
      <c r="D20" s="29" t="s">
        <v>581</v>
      </c>
      <c r="E20" s="30" t="s">
        <v>582</v>
      </c>
      <c r="F20" s="53">
        <v>48178.13</v>
      </c>
      <c r="G20" s="54">
        <v>45883.93</v>
      </c>
      <c r="H20" s="54">
        <v>2294.1999999999998</v>
      </c>
      <c r="I20" s="33"/>
      <c r="J20" s="33"/>
    </row>
    <row r="21" spans="1:10" x14ac:dyDescent="0.3">
      <c r="A21" s="40"/>
      <c r="B21" s="34" t="s">
        <v>10</v>
      </c>
      <c r="C21" s="35" t="s">
        <v>9</v>
      </c>
      <c r="D21" s="36" t="s">
        <v>9</v>
      </c>
      <c r="E21" s="37" t="s">
        <v>9</v>
      </c>
      <c r="F21" s="57">
        <f>SUM(F14:F20)</f>
        <v>474101.70999999996</v>
      </c>
      <c r="G21" s="58">
        <f>SUM(G14:G20)</f>
        <v>451525.43</v>
      </c>
      <c r="H21" s="58">
        <f>SUM(H14:H20)</f>
        <v>22576.280000000002</v>
      </c>
      <c r="I21" s="41"/>
      <c r="J21" s="41"/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1905-B90F-4F02-B870-385BE998BC16}">
  <sheetPr codeName="Sheet2"/>
  <dimension ref="A1:I24"/>
  <sheetViews>
    <sheetView topLeftCell="A3" workbookViewId="0">
      <selection activeCell="D26" sqref="D26"/>
    </sheetView>
  </sheetViews>
  <sheetFormatPr defaultRowHeight="14.4" x14ac:dyDescent="0.3"/>
  <cols>
    <col min="1" max="1" width="21.109375" bestFit="1" customWidth="1"/>
    <col min="2" max="2" width="21.44140625" bestFit="1" customWidth="1"/>
    <col min="3" max="3" width="7.44140625" bestFit="1" customWidth="1"/>
    <col min="4" max="4" width="12.88671875" bestFit="1" customWidth="1"/>
    <col min="5" max="5" width="34" bestFit="1" customWidth="1"/>
    <col min="6" max="7" width="11.6640625" bestFit="1" customWidth="1"/>
    <col min="8" max="8" width="10.6640625" bestFit="1" customWidth="1"/>
    <col min="9" max="9" width="14.109375" bestFit="1" customWidth="1"/>
  </cols>
  <sheetData>
    <row r="1" spans="1:9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</row>
    <row r="2" spans="1:9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</row>
    <row r="3" spans="1:9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</row>
    <row r="4" spans="1:9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</row>
    <row r="5" spans="1:9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</row>
    <row r="6" spans="1:9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</row>
    <row r="7" spans="1:9" ht="15.6" x14ac:dyDescent="0.3">
      <c r="A7" s="115" t="s">
        <v>14</v>
      </c>
      <c r="B7" s="115"/>
      <c r="C7" s="115"/>
      <c r="D7" s="14"/>
      <c r="E7" s="14"/>
      <c r="F7" s="14"/>
      <c r="G7" s="14"/>
      <c r="H7" s="14"/>
      <c r="I7" s="14"/>
    </row>
    <row r="8" spans="1:9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</row>
    <row r="9" spans="1:9" x14ac:dyDescent="0.3">
      <c r="A9" s="116" t="s">
        <v>35</v>
      </c>
      <c r="B9" s="116"/>
      <c r="C9" s="116"/>
      <c r="D9" s="14"/>
      <c r="E9" s="14"/>
      <c r="F9" s="14"/>
      <c r="G9" s="14"/>
      <c r="H9" s="14"/>
      <c r="I9" s="14"/>
    </row>
    <row r="10" spans="1:9" x14ac:dyDescent="0.3">
      <c r="A10" s="116" t="s">
        <v>34</v>
      </c>
      <c r="B10" s="116"/>
      <c r="C10" s="116"/>
      <c r="D10" s="14"/>
      <c r="E10" s="14"/>
      <c r="F10" s="14"/>
      <c r="G10" s="14"/>
      <c r="H10" s="14"/>
      <c r="I10" s="14"/>
    </row>
    <row r="11" spans="1:9" x14ac:dyDescent="0.3">
      <c r="A11" s="116" t="s">
        <v>33</v>
      </c>
      <c r="B11" s="116"/>
      <c r="C11" s="116"/>
      <c r="D11" s="14"/>
      <c r="E11" s="14"/>
      <c r="F11" s="14"/>
      <c r="G11" s="14"/>
      <c r="H11" s="14"/>
      <c r="I11" s="14"/>
    </row>
    <row r="12" spans="1:9" x14ac:dyDescent="0.3">
      <c r="A12" s="116" t="s">
        <v>32</v>
      </c>
      <c r="B12" s="116"/>
      <c r="C12" s="116"/>
      <c r="D12" s="14"/>
      <c r="E12" s="14"/>
      <c r="F12" s="14"/>
      <c r="G12" s="14"/>
      <c r="H12" s="14"/>
      <c r="I12" s="14"/>
    </row>
    <row r="13" spans="1:9" x14ac:dyDescent="0.3">
      <c r="A13" s="116" t="s">
        <v>9</v>
      </c>
      <c r="B13" s="116"/>
      <c r="C13" s="116"/>
      <c r="D13" s="14"/>
      <c r="E13" s="14"/>
      <c r="F13" s="14"/>
      <c r="G13" s="14"/>
      <c r="H13" s="14"/>
      <c r="I13" s="14"/>
    </row>
    <row r="14" spans="1:9" x14ac:dyDescent="0.3">
      <c r="A14" s="116" t="s">
        <v>31</v>
      </c>
      <c r="B14" s="116"/>
      <c r="C14" s="116"/>
      <c r="D14" s="14"/>
      <c r="E14" s="14"/>
      <c r="F14" s="14"/>
      <c r="G14" s="14"/>
      <c r="H14" s="14"/>
      <c r="I14" s="14"/>
    </row>
    <row r="15" spans="1:9" x14ac:dyDescent="0.3">
      <c r="A15" s="116" t="s">
        <v>30</v>
      </c>
      <c r="B15" s="116"/>
      <c r="C15" s="116"/>
      <c r="D15" s="14"/>
      <c r="E15" s="14"/>
      <c r="F15" s="14"/>
      <c r="G15" s="14"/>
      <c r="H15" s="14"/>
      <c r="I15" s="14"/>
    </row>
    <row r="16" spans="1:9" ht="31.5" customHeight="1" x14ac:dyDescent="0.3">
      <c r="A16" s="12" t="s">
        <v>29</v>
      </c>
      <c r="B16" s="13" t="s">
        <v>28</v>
      </c>
      <c r="C16" s="12" t="s">
        <v>27</v>
      </c>
      <c r="D16" s="12" t="s">
        <v>26</v>
      </c>
      <c r="E16" s="12" t="s">
        <v>25</v>
      </c>
      <c r="F16" s="12" t="s">
        <v>24</v>
      </c>
      <c r="G16" s="12" t="s">
        <v>23</v>
      </c>
      <c r="H16" s="12" t="s">
        <v>5</v>
      </c>
      <c r="I16" s="12" t="s">
        <v>22</v>
      </c>
    </row>
    <row r="17" spans="1:9" ht="31.5" customHeight="1" x14ac:dyDescent="0.3">
      <c r="A17" s="11">
        <v>44844</v>
      </c>
      <c r="B17" s="10" t="s">
        <v>14</v>
      </c>
      <c r="C17" s="7" t="s">
        <v>13</v>
      </c>
      <c r="D17" s="6" t="s">
        <v>21</v>
      </c>
      <c r="E17" s="5" t="s">
        <v>11</v>
      </c>
      <c r="F17" s="4">
        <v>136500</v>
      </c>
      <c r="G17" s="3">
        <v>130000</v>
      </c>
      <c r="H17" s="3">
        <v>6500</v>
      </c>
      <c r="I17" s="3"/>
    </row>
    <row r="18" spans="1:9" ht="31.5" customHeight="1" x14ac:dyDescent="0.3">
      <c r="A18" s="11">
        <v>44970</v>
      </c>
      <c r="B18" s="10" t="s">
        <v>14</v>
      </c>
      <c r="C18" s="7" t="s">
        <v>20</v>
      </c>
      <c r="D18" s="6" t="s">
        <v>19</v>
      </c>
      <c r="E18" s="5" t="s">
        <v>9</v>
      </c>
      <c r="F18" s="4">
        <v>136500</v>
      </c>
      <c r="G18" s="3"/>
      <c r="H18" s="3"/>
      <c r="I18" s="3">
        <v>136500</v>
      </c>
    </row>
    <row r="19" spans="1:9" ht="31.5" customHeight="1" x14ac:dyDescent="0.3">
      <c r="A19" s="11">
        <v>44971</v>
      </c>
      <c r="B19" s="10" t="s">
        <v>14</v>
      </c>
      <c r="C19" s="7" t="s">
        <v>13</v>
      </c>
      <c r="D19" s="6" t="s">
        <v>18</v>
      </c>
      <c r="E19" s="5" t="s">
        <v>17</v>
      </c>
      <c r="F19" s="4">
        <v>162750</v>
      </c>
      <c r="G19" s="3">
        <v>155000</v>
      </c>
      <c r="H19" s="3">
        <v>7750</v>
      </c>
      <c r="I19" s="3"/>
    </row>
    <row r="20" spans="1:9" ht="31.5" customHeight="1" x14ac:dyDescent="0.3">
      <c r="A20" s="11">
        <v>44971</v>
      </c>
      <c r="B20" s="10" t="s">
        <v>14</v>
      </c>
      <c r="C20" s="7" t="s">
        <v>13</v>
      </c>
      <c r="D20" s="6" t="s">
        <v>16</v>
      </c>
      <c r="E20" s="5" t="s">
        <v>15</v>
      </c>
      <c r="F20" s="4">
        <v>377585.67</v>
      </c>
      <c r="G20" s="3">
        <v>359605.4</v>
      </c>
      <c r="H20" s="3">
        <v>17980.27</v>
      </c>
      <c r="I20" s="3"/>
    </row>
    <row r="21" spans="1:9" ht="31.5" customHeight="1" x14ac:dyDescent="0.3">
      <c r="A21" s="11">
        <v>45231</v>
      </c>
      <c r="B21" s="10" t="s">
        <v>14</v>
      </c>
      <c r="C21" s="7" t="s">
        <v>13</v>
      </c>
      <c r="D21" s="6" t="s">
        <v>12</v>
      </c>
      <c r="E21" s="5" t="s">
        <v>11</v>
      </c>
      <c r="F21" s="4">
        <v>136500</v>
      </c>
      <c r="G21" s="3">
        <v>130000</v>
      </c>
      <c r="H21" s="3">
        <v>6500</v>
      </c>
      <c r="I21" s="3"/>
    </row>
    <row r="22" spans="1:9" x14ac:dyDescent="0.3">
      <c r="A22" s="9"/>
      <c r="B22" s="8" t="s">
        <v>10</v>
      </c>
      <c r="C22" s="7" t="s">
        <v>9</v>
      </c>
      <c r="D22" s="6" t="s">
        <v>9</v>
      </c>
      <c r="E22" s="5" t="s">
        <v>9</v>
      </c>
      <c r="F22" s="4">
        <v>676835.67</v>
      </c>
      <c r="G22" s="3">
        <v>774605.4</v>
      </c>
      <c r="H22" s="3">
        <v>38730.269999999997</v>
      </c>
      <c r="I22" s="3">
        <v>136500</v>
      </c>
    </row>
    <row r="24" spans="1:9" x14ac:dyDescent="0.3">
      <c r="F24" s="2"/>
    </row>
  </sheetData>
  <mergeCells count="14">
    <mergeCell ref="A14:C14"/>
    <mergeCell ref="A15:C15"/>
    <mergeCell ref="A8:C8"/>
    <mergeCell ref="A9:C9"/>
    <mergeCell ref="A10:C10"/>
    <mergeCell ref="A11:C11"/>
    <mergeCell ref="A12:C12"/>
    <mergeCell ref="A13:C13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65A6-E7A1-4FC1-A4EE-1600A4B39543}">
  <sheetPr codeName="Sheet3"/>
  <dimension ref="A1:O114"/>
  <sheetViews>
    <sheetView workbookViewId="0">
      <selection activeCell="B119" sqref="B119"/>
    </sheetView>
  </sheetViews>
  <sheetFormatPr defaultRowHeight="14.4" x14ac:dyDescent="0.3"/>
  <cols>
    <col min="1" max="1" width="21.109375" bestFit="1" customWidth="1"/>
    <col min="2" max="2" width="48.44140625" bestFit="1" customWidth="1"/>
    <col min="3" max="3" width="7.44140625" bestFit="1" customWidth="1"/>
    <col min="4" max="4" width="12.88671875" bestFit="1" customWidth="1"/>
    <col min="5" max="5" width="72.33203125" customWidth="1"/>
    <col min="6" max="6" width="12.6640625" bestFit="1" customWidth="1"/>
    <col min="7" max="7" width="14.109375" bestFit="1" customWidth="1"/>
    <col min="8" max="8" width="12.6640625" bestFit="1" customWidth="1"/>
    <col min="9" max="9" width="11.6640625" bestFit="1" customWidth="1"/>
    <col min="10" max="10" width="23.6640625" bestFit="1" customWidth="1"/>
    <col min="11" max="11" width="8.88671875" bestFit="1" customWidth="1"/>
    <col min="12" max="12" width="9" bestFit="1" customWidth="1"/>
    <col min="13" max="13" width="8.5546875" bestFit="1" customWidth="1"/>
    <col min="14" max="14" width="20.44140625" customWidth="1"/>
    <col min="15" max="15" width="10.33203125" customWidth="1"/>
  </cols>
  <sheetData>
    <row r="1" spans="1:15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15.6" x14ac:dyDescent="0.3">
      <c r="A7" s="115" t="s">
        <v>43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116" t="s">
        <v>44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116" t="s">
        <v>32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116" t="s">
        <v>39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116" t="s">
        <v>9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3">
      <c r="A13" s="116" t="s">
        <v>45</v>
      </c>
      <c r="B13" s="116"/>
      <c r="C13" s="116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3">
      <c r="A14" s="116" t="s">
        <v>30</v>
      </c>
      <c r="B14" s="116"/>
      <c r="C14" s="11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62.25" customHeight="1" x14ac:dyDescent="0.3">
      <c r="A15" s="12" t="s">
        <v>29</v>
      </c>
      <c r="B15" s="13" t="s">
        <v>28</v>
      </c>
      <c r="C15" s="12" t="s">
        <v>27</v>
      </c>
      <c r="D15" s="12" t="s">
        <v>26</v>
      </c>
      <c r="E15" s="12" t="s">
        <v>25</v>
      </c>
      <c r="F15" s="12" t="s">
        <v>24</v>
      </c>
      <c r="G15" s="12" t="s">
        <v>22</v>
      </c>
      <c r="H15" s="12" t="s">
        <v>23</v>
      </c>
      <c r="I15" s="12" t="s">
        <v>5</v>
      </c>
      <c r="J15" s="12" t="s">
        <v>46</v>
      </c>
      <c r="K15" s="12" t="s">
        <v>47</v>
      </c>
      <c r="L15" s="12" t="s">
        <v>48</v>
      </c>
      <c r="M15" s="12" t="s">
        <v>49</v>
      </c>
      <c r="N15" s="12" t="s">
        <v>50</v>
      </c>
      <c r="O15" s="12" t="s">
        <v>51</v>
      </c>
    </row>
    <row r="16" spans="1:15" ht="34.5" customHeight="1" x14ac:dyDescent="0.3">
      <c r="A16" s="11">
        <v>44823</v>
      </c>
      <c r="B16" s="10" t="s">
        <v>43</v>
      </c>
      <c r="C16" s="7" t="s">
        <v>13</v>
      </c>
      <c r="D16" s="6" t="s">
        <v>52</v>
      </c>
      <c r="E16" s="5" t="s">
        <v>53</v>
      </c>
      <c r="F16" s="4">
        <v>91830.48</v>
      </c>
      <c r="G16" s="3"/>
      <c r="H16" s="3">
        <v>92060.63</v>
      </c>
      <c r="I16" s="3">
        <v>4603.03</v>
      </c>
      <c r="J16" s="3">
        <v>4833.18</v>
      </c>
      <c r="K16" s="42"/>
      <c r="L16" s="42"/>
      <c r="M16" s="42"/>
      <c r="N16" s="42"/>
      <c r="O16" s="42"/>
    </row>
    <row r="17" spans="1:15" ht="34.5" customHeight="1" x14ac:dyDescent="0.3">
      <c r="A17" s="11">
        <v>44823</v>
      </c>
      <c r="B17" s="10" t="s">
        <v>43</v>
      </c>
      <c r="C17" s="7" t="s">
        <v>13</v>
      </c>
      <c r="D17" s="6" t="s">
        <v>54</v>
      </c>
      <c r="E17" s="5" t="s">
        <v>55</v>
      </c>
      <c r="F17" s="4">
        <v>112889.88</v>
      </c>
      <c r="G17" s="3"/>
      <c r="H17" s="3">
        <v>113172.81</v>
      </c>
      <c r="I17" s="3">
        <v>5658.64</v>
      </c>
      <c r="J17" s="3">
        <v>5941.57</v>
      </c>
      <c r="K17" s="42"/>
      <c r="L17" s="42"/>
      <c r="M17" s="42"/>
      <c r="N17" s="42"/>
      <c r="O17" s="42"/>
    </row>
    <row r="18" spans="1:15" ht="34.5" customHeight="1" x14ac:dyDescent="0.3">
      <c r="A18" s="11">
        <v>44823</v>
      </c>
      <c r="B18" s="10" t="s">
        <v>43</v>
      </c>
      <c r="C18" s="7" t="s">
        <v>13</v>
      </c>
      <c r="D18" s="6" t="s">
        <v>56</v>
      </c>
      <c r="E18" s="5" t="s">
        <v>57</v>
      </c>
      <c r="F18" s="4">
        <v>105608.64</v>
      </c>
      <c r="G18" s="3"/>
      <c r="H18" s="3">
        <v>105873.32</v>
      </c>
      <c r="I18" s="3">
        <v>5293.67</v>
      </c>
      <c r="J18" s="3">
        <v>5558.35</v>
      </c>
      <c r="K18" s="42"/>
      <c r="L18" s="42"/>
      <c r="M18" s="42"/>
      <c r="N18" s="42"/>
      <c r="O18" s="42"/>
    </row>
    <row r="19" spans="1:15" ht="34.5" customHeight="1" x14ac:dyDescent="0.3">
      <c r="A19" s="11">
        <v>44823</v>
      </c>
      <c r="B19" s="10" t="s">
        <v>43</v>
      </c>
      <c r="C19" s="7" t="s">
        <v>13</v>
      </c>
      <c r="D19" s="6" t="s">
        <v>58</v>
      </c>
      <c r="E19" s="5" t="s">
        <v>59</v>
      </c>
      <c r="F19" s="4">
        <v>113108.36</v>
      </c>
      <c r="G19" s="3"/>
      <c r="H19" s="3">
        <v>113391.84</v>
      </c>
      <c r="I19" s="3">
        <v>5669.59</v>
      </c>
      <c r="J19" s="3">
        <v>5953.07</v>
      </c>
      <c r="K19" s="42"/>
      <c r="L19" s="42"/>
      <c r="M19" s="42"/>
      <c r="N19" s="42"/>
      <c r="O19" s="42"/>
    </row>
    <row r="20" spans="1:15" ht="34.5" customHeight="1" x14ac:dyDescent="0.3">
      <c r="A20" s="11">
        <v>44823</v>
      </c>
      <c r="B20" s="10" t="s">
        <v>43</v>
      </c>
      <c r="C20" s="7" t="s">
        <v>13</v>
      </c>
      <c r="D20" s="6" t="s">
        <v>60</v>
      </c>
      <c r="E20" s="5" t="s">
        <v>61</v>
      </c>
      <c r="F20" s="4">
        <v>113253.16</v>
      </c>
      <c r="G20" s="3"/>
      <c r="H20" s="3">
        <v>113537</v>
      </c>
      <c r="I20" s="3">
        <v>5676.85</v>
      </c>
      <c r="J20" s="3">
        <v>5960.69</v>
      </c>
      <c r="K20" s="42"/>
      <c r="L20" s="42"/>
      <c r="M20" s="42"/>
      <c r="N20" s="42"/>
      <c r="O20" s="42"/>
    </row>
    <row r="21" spans="1:15" ht="34.5" customHeight="1" x14ac:dyDescent="0.3">
      <c r="A21" s="11">
        <v>44824</v>
      </c>
      <c r="B21" s="10" t="s">
        <v>43</v>
      </c>
      <c r="C21" s="7" t="s">
        <v>13</v>
      </c>
      <c r="D21" s="6" t="s">
        <v>62</v>
      </c>
      <c r="E21" s="5" t="s">
        <v>63</v>
      </c>
      <c r="F21" s="4">
        <v>56315.21</v>
      </c>
      <c r="G21" s="3"/>
      <c r="H21" s="3">
        <v>56456.35</v>
      </c>
      <c r="I21" s="3">
        <v>2822.82</v>
      </c>
      <c r="J21" s="3">
        <v>2963.96</v>
      </c>
      <c r="K21" s="42"/>
      <c r="L21" s="42"/>
      <c r="M21" s="42"/>
      <c r="N21" s="42"/>
      <c r="O21" s="42"/>
    </row>
    <row r="22" spans="1:15" ht="34.5" customHeight="1" x14ac:dyDescent="0.3">
      <c r="A22" s="11">
        <v>44824</v>
      </c>
      <c r="B22" s="10" t="s">
        <v>43</v>
      </c>
      <c r="C22" s="7" t="s">
        <v>13</v>
      </c>
      <c r="D22" s="6" t="s">
        <v>64</v>
      </c>
      <c r="E22" s="5" t="s">
        <v>65</v>
      </c>
      <c r="F22" s="4">
        <v>82326.69</v>
      </c>
      <c r="G22" s="3"/>
      <c r="H22" s="3">
        <v>82533.02</v>
      </c>
      <c r="I22" s="3">
        <v>4126.6499999999996</v>
      </c>
      <c r="J22" s="3">
        <v>4332.9799999999996</v>
      </c>
      <c r="K22" s="42"/>
      <c r="L22" s="42"/>
      <c r="M22" s="42"/>
      <c r="N22" s="42"/>
      <c r="O22" s="42"/>
    </row>
    <row r="23" spans="1:15" ht="34.5" customHeight="1" x14ac:dyDescent="0.3">
      <c r="A23" s="11">
        <v>44824</v>
      </c>
      <c r="B23" s="10" t="s">
        <v>43</v>
      </c>
      <c r="C23" s="7" t="s">
        <v>13</v>
      </c>
      <c r="D23" s="6" t="s">
        <v>66</v>
      </c>
      <c r="E23" s="5" t="s">
        <v>67</v>
      </c>
      <c r="F23" s="4">
        <v>81254.33</v>
      </c>
      <c r="G23" s="3"/>
      <c r="H23" s="3">
        <v>81457.97</v>
      </c>
      <c r="I23" s="3">
        <v>4072.9</v>
      </c>
      <c r="J23" s="3">
        <v>4276.54</v>
      </c>
      <c r="K23" s="42"/>
      <c r="L23" s="42"/>
      <c r="M23" s="42"/>
      <c r="N23" s="42"/>
      <c r="O23" s="42"/>
    </row>
    <row r="24" spans="1:15" ht="34.5" customHeight="1" x14ac:dyDescent="0.3">
      <c r="A24" s="11">
        <v>44824</v>
      </c>
      <c r="B24" s="10" t="s">
        <v>43</v>
      </c>
      <c r="C24" s="7" t="s">
        <v>13</v>
      </c>
      <c r="D24" s="6" t="s">
        <v>68</v>
      </c>
      <c r="E24" s="5" t="s">
        <v>69</v>
      </c>
      <c r="F24" s="4">
        <v>85013.440000000002</v>
      </c>
      <c r="G24" s="3"/>
      <c r="H24" s="3">
        <v>85226.5</v>
      </c>
      <c r="I24" s="3">
        <v>4261.33</v>
      </c>
      <c r="J24" s="3">
        <v>4474.3900000000003</v>
      </c>
      <c r="K24" s="42"/>
      <c r="L24" s="42"/>
      <c r="M24" s="42"/>
      <c r="N24" s="42"/>
      <c r="O24" s="42"/>
    </row>
    <row r="25" spans="1:15" ht="34.5" customHeight="1" x14ac:dyDescent="0.3">
      <c r="A25" s="11">
        <v>44824</v>
      </c>
      <c r="B25" s="10" t="s">
        <v>43</v>
      </c>
      <c r="C25" s="7" t="s">
        <v>13</v>
      </c>
      <c r="D25" s="6" t="s">
        <v>70</v>
      </c>
      <c r="E25" s="5" t="s">
        <v>71</v>
      </c>
      <c r="F25" s="4">
        <v>85013.440000000002</v>
      </c>
      <c r="G25" s="3"/>
      <c r="H25" s="3">
        <v>85226.5</v>
      </c>
      <c r="I25" s="3">
        <v>4261.33</v>
      </c>
      <c r="J25" s="3">
        <v>4474.3900000000003</v>
      </c>
      <c r="K25" s="42"/>
      <c r="L25" s="42"/>
      <c r="M25" s="42"/>
      <c r="N25" s="42"/>
      <c r="O25" s="42"/>
    </row>
    <row r="26" spans="1:15" ht="34.5" customHeight="1" x14ac:dyDescent="0.3">
      <c r="A26" s="11">
        <v>44825</v>
      </c>
      <c r="B26" s="10" t="s">
        <v>43</v>
      </c>
      <c r="C26" s="7" t="s">
        <v>13</v>
      </c>
      <c r="D26" s="6" t="s">
        <v>72</v>
      </c>
      <c r="E26" s="5" t="s">
        <v>73</v>
      </c>
      <c r="F26" s="4">
        <v>14713.12</v>
      </c>
      <c r="G26" s="3"/>
      <c r="H26" s="3">
        <v>14750</v>
      </c>
      <c r="I26" s="3">
        <v>737.5</v>
      </c>
      <c r="J26" s="3">
        <v>774.38</v>
      </c>
      <c r="K26" s="42"/>
      <c r="L26" s="42"/>
      <c r="M26" s="42"/>
      <c r="N26" s="42"/>
      <c r="O26" s="42"/>
    </row>
    <row r="27" spans="1:15" ht="34.5" customHeight="1" x14ac:dyDescent="0.3">
      <c r="A27" s="11">
        <v>44825</v>
      </c>
      <c r="B27" s="10" t="s">
        <v>43</v>
      </c>
      <c r="C27" s="7" t="s">
        <v>13</v>
      </c>
      <c r="D27" s="6" t="s">
        <v>74</v>
      </c>
      <c r="E27" s="5" t="s">
        <v>75</v>
      </c>
      <c r="F27" s="4">
        <v>14713.12</v>
      </c>
      <c r="G27" s="3"/>
      <c r="H27" s="3">
        <v>14750</v>
      </c>
      <c r="I27" s="3">
        <v>737.5</v>
      </c>
      <c r="J27" s="3">
        <v>774.38</v>
      </c>
      <c r="K27" s="42"/>
      <c r="L27" s="42"/>
      <c r="M27" s="42"/>
      <c r="N27" s="42"/>
      <c r="O27" s="42"/>
    </row>
    <row r="28" spans="1:15" ht="34.5" customHeight="1" x14ac:dyDescent="0.3">
      <c r="A28" s="11">
        <v>44825</v>
      </c>
      <c r="B28" s="10" t="s">
        <v>43</v>
      </c>
      <c r="C28" s="7" t="s">
        <v>13</v>
      </c>
      <c r="D28" s="6" t="s">
        <v>76</v>
      </c>
      <c r="E28" s="5" t="s">
        <v>77</v>
      </c>
      <c r="F28" s="4">
        <v>14257.55</v>
      </c>
      <c r="G28" s="3"/>
      <c r="H28" s="3">
        <v>14293.29</v>
      </c>
      <c r="I28" s="3">
        <v>714.66</v>
      </c>
      <c r="J28" s="3">
        <v>750.4</v>
      </c>
      <c r="K28" s="42"/>
      <c r="L28" s="42"/>
      <c r="M28" s="42"/>
      <c r="N28" s="42"/>
      <c r="O28" s="42"/>
    </row>
    <row r="29" spans="1:15" ht="34.5" customHeight="1" x14ac:dyDescent="0.3">
      <c r="A29" s="11">
        <v>44825</v>
      </c>
      <c r="B29" s="10" t="s">
        <v>43</v>
      </c>
      <c r="C29" s="7" t="s">
        <v>13</v>
      </c>
      <c r="D29" s="6" t="s">
        <v>78</v>
      </c>
      <c r="E29" s="5" t="s">
        <v>79</v>
      </c>
      <c r="F29" s="4">
        <v>14713.12</v>
      </c>
      <c r="G29" s="3"/>
      <c r="H29" s="3">
        <v>14750</v>
      </c>
      <c r="I29" s="3">
        <v>737.5</v>
      </c>
      <c r="J29" s="3">
        <v>774.38</v>
      </c>
      <c r="K29" s="42"/>
      <c r="L29" s="42"/>
      <c r="M29" s="42"/>
      <c r="N29" s="42"/>
      <c r="O29" s="42"/>
    </row>
    <row r="30" spans="1:15" ht="34.5" customHeight="1" x14ac:dyDescent="0.3">
      <c r="A30" s="11">
        <v>44825</v>
      </c>
      <c r="B30" s="10" t="s">
        <v>43</v>
      </c>
      <c r="C30" s="7" t="s">
        <v>13</v>
      </c>
      <c r="D30" s="6" t="s">
        <v>80</v>
      </c>
      <c r="E30" s="5" t="s">
        <v>81</v>
      </c>
      <c r="F30" s="4">
        <v>14713.12</v>
      </c>
      <c r="G30" s="3"/>
      <c r="H30" s="3">
        <v>14750</v>
      </c>
      <c r="I30" s="3">
        <v>737.5</v>
      </c>
      <c r="J30" s="3">
        <v>774.38</v>
      </c>
      <c r="K30" s="42"/>
      <c r="L30" s="42"/>
      <c r="M30" s="42"/>
      <c r="N30" s="42"/>
      <c r="O30" s="42"/>
    </row>
    <row r="31" spans="1:15" ht="34.5" customHeight="1" x14ac:dyDescent="0.3">
      <c r="A31" s="11">
        <v>44826</v>
      </c>
      <c r="B31" s="10" t="s">
        <v>43</v>
      </c>
      <c r="C31" s="7" t="s">
        <v>13</v>
      </c>
      <c r="D31" s="6" t="s">
        <v>82</v>
      </c>
      <c r="E31" s="5" t="s">
        <v>83</v>
      </c>
      <c r="F31" s="4">
        <v>15811.37</v>
      </c>
      <c r="G31" s="3"/>
      <c r="H31" s="3">
        <v>15851</v>
      </c>
      <c r="I31" s="3">
        <v>792.55</v>
      </c>
      <c r="J31" s="3">
        <v>832.18</v>
      </c>
      <c r="K31" s="42"/>
      <c r="L31" s="42"/>
      <c r="M31" s="42"/>
      <c r="N31" s="42"/>
      <c r="O31" s="42"/>
    </row>
    <row r="32" spans="1:15" ht="34.5" customHeight="1" x14ac:dyDescent="0.3">
      <c r="A32" s="11">
        <v>44826</v>
      </c>
      <c r="B32" s="10" t="s">
        <v>43</v>
      </c>
      <c r="C32" s="7" t="s">
        <v>13</v>
      </c>
      <c r="D32" s="6" t="s">
        <v>84</v>
      </c>
      <c r="E32" s="5" t="s">
        <v>85</v>
      </c>
      <c r="F32" s="4">
        <v>19905.84</v>
      </c>
      <c r="G32" s="3"/>
      <c r="H32" s="3">
        <v>19955.73</v>
      </c>
      <c r="I32" s="3">
        <v>997.79</v>
      </c>
      <c r="J32" s="3">
        <v>1047.68</v>
      </c>
      <c r="K32" s="42"/>
      <c r="L32" s="42"/>
      <c r="M32" s="42"/>
      <c r="N32" s="42"/>
      <c r="O32" s="42"/>
    </row>
    <row r="33" spans="1:15" ht="34.5" customHeight="1" x14ac:dyDescent="0.3">
      <c r="A33" s="11">
        <v>44826</v>
      </c>
      <c r="B33" s="10" t="s">
        <v>43</v>
      </c>
      <c r="C33" s="7" t="s">
        <v>13</v>
      </c>
      <c r="D33" s="6" t="s">
        <v>86</v>
      </c>
      <c r="E33" s="5" t="s">
        <v>87</v>
      </c>
      <c r="F33" s="4">
        <v>19980.919999999998</v>
      </c>
      <c r="G33" s="3"/>
      <c r="H33" s="3">
        <v>20031</v>
      </c>
      <c r="I33" s="3">
        <v>1001.55</v>
      </c>
      <c r="J33" s="3">
        <v>1051.6300000000001</v>
      </c>
      <c r="K33" s="42"/>
      <c r="L33" s="42"/>
      <c r="M33" s="42"/>
      <c r="N33" s="42"/>
      <c r="O33" s="42"/>
    </row>
    <row r="34" spans="1:15" ht="34.5" customHeight="1" x14ac:dyDescent="0.3">
      <c r="A34" s="11">
        <v>44826</v>
      </c>
      <c r="B34" s="10" t="s">
        <v>43</v>
      </c>
      <c r="C34" s="7" t="s">
        <v>13</v>
      </c>
      <c r="D34" s="6" t="s">
        <v>88</v>
      </c>
      <c r="E34" s="5" t="s">
        <v>89</v>
      </c>
      <c r="F34" s="4">
        <v>19980.919999999998</v>
      </c>
      <c r="G34" s="3"/>
      <c r="H34" s="3">
        <v>20031</v>
      </c>
      <c r="I34" s="3">
        <v>1001.55</v>
      </c>
      <c r="J34" s="3">
        <v>1051.6300000000001</v>
      </c>
      <c r="K34" s="42"/>
      <c r="L34" s="42"/>
      <c r="M34" s="42"/>
      <c r="N34" s="42"/>
      <c r="O34" s="42"/>
    </row>
    <row r="35" spans="1:15" ht="34.5" customHeight="1" x14ac:dyDescent="0.3">
      <c r="A35" s="11">
        <v>44826</v>
      </c>
      <c r="B35" s="10" t="s">
        <v>43</v>
      </c>
      <c r="C35" s="7" t="s">
        <v>13</v>
      </c>
      <c r="D35" s="6" t="s">
        <v>90</v>
      </c>
      <c r="E35" s="5" t="s">
        <v>91</v>
      </c>
      <c r="F35" s="4">
        <v>28897.62</v>
      </c>
      <c r="G35" s="3"/>
      <c r="H35" s="3">
        <v>28970.05</v>
      </c>
      <c r="I35" s="3">
        <v>1448.5</v>
      </c>
      <c r="J35" s="3">
        <v>1520.93</v>
      </c>
      <c r="K35" s="42"/>
      <c r="L35" s="42"/>
      <c r="M35" s="42"/>
      <c r="N35" s="42"/>
      <c r="O35" s="42"/>
    </row>
    <row r="36" spans="1:15" ht="34.5" customHeight="1" x14ac:dyDescent="0.3">
      <c r="A36" s="11">
        <v>44831</v>
      </c>
      <c r="B36" s="10" t="s">
        <v>43</v>
      </c>
      <c r="C36" s="7" t="s">
        <v>13</v>
      </c>
      <c r="D36" s="6" t="s">
        <v>92</v>
      </c>
      <c r="E36" s="5" t="s">
        <v>93</v>
      </c>
      <c r="F36" s="4">
        <v>31395.82</v>
      </c>
      <c r="G36" s="3"/>
      <c r="H36" s="3">
        <v>31474.5</v>
      </c>
      <c r="I36" s="3">
        <v>1573.73</v>
      </c>
      <c r="J36" s="3">
        <v>1652.41</v>
      </c>
      <c r="K36" s="42"/>
      <c r="L36" s="42"/>
      <c r="M36" s="42"/>
      <c r="N36" s="42"/>
      <c r="O36" s="42"/>
    </row>
    <row r="37" spans="1:15" ht="34.5" customHeight="1" x14ac:dyDescent="0.3">
      <c r="A37" s="11">
        <v>44831</v>
      </c>
      <c r="B37" s="10" t="s">
        <v>43</v>
      </c>
      <c r="C37" s="7" t="s">
        <v>13</v>
      </c>
      <c r="D37" s="6" t="s">
        <v>94</v>
      </c>
      <c r="E37" s="5" t="s">
        <v>95</v>
      </c>
      <c r="F37" s="4">
        <v>31395.82</v>
      </c>
      <c r="G37" s="3"/>
      <c r="H37" s="3">
        <v>31474.5</v>
      </c>
      <c r="I37" s="3">
        <v>1573.73</v>
      </c>
      <c r="J37" s="3">
        <v>1652.41</v>
      </c>
      <c r="K37" s="42"/>
      <c r="L37" s="42"/>
      <c r="M37" s="42"/>
      <c r="N37" s="42"/>
      <c r="O37" s="42"/>
    </row>
    <row r="38" spans="1:15" ht="34.5" customHeight="1" x14ac:dyDescent="0.3">
      <c r="A38" s="11">
        <v>44831</v>
      </c>
      <c r="B38" s="10" t="s">
        <v>43</v>
      </c>
      <c r="C38" s="7" t="s">
        <v>13</v>
      </c>
      <c r="D38" s="6" t="s">
        <v>96</v>
      </c>
      <c r="E38" s="5" t="s">
        <v>97</v>
      </c>
      <c r="F38" s="4">
        <v>31395.82</v>
      </c>
      <c r="G38" s="3"/>
      <c r="H38" s="3">
        <v>31474.5</v>
      </c>
      <c r="I38" s="3">
        <v>1573.73</v>
      </c>
      <c r="J38" s="3">
        <v>1652.41</v>
      </c>
      <c r="K38" s="42"/>
      <c r="L38" s="42"/>
      <c r="M38" s="42"/>
      <c r="N38" s="42"/>
      <c r="O38" s="42"/>
    </row>
    <row r="39" spans="1:15" ht="34.5" customHeight="1" x14ac:dyDescent="0.3">
      <c r="A39" s="11">
        <v>44831</v>
      </c>
      <c r="B39" s="10" t="s">
        <v>43</v>
      </c>
      <c r="C39" s="7" t="s">
        <v>13</v>
      </c>
      <c r="D39" s="6" t="s">
        <v>98</v>
      </c>
      <c r="E39" s="5" t="s">
        <v>99</v>
      </c>
      <c r="F39" s="4">
        <v>31020.43</v>
      </c>
      <c r="G39" s="3"/>
      <c r="H39" s="3">
        <v>31098.17</v>
      </c>
      <c r="I39" s="3">
        <v>1554.91</v>
      </c>
      <c r="J39" s="3">
        <v>1632.65</v>
      </c>
      <c r="K39" s="42"/>
      <c r="L39" s="42"/>
      <c r="M39" s="42"/>
      <c r="N39" s="42"/>
      <c r="O39" s="42"/>
    </row>
    <row r="40" spans="1:15" ht="34.5" customHeight="1" x14ac:dyDescent="0.3">
      <c r="A40" s="11">
        <v>44831</v>
      </c>
      <c r="B40" s="10" t="s">
        <v>43</v>
      </c>
      <c r="C40" s="7" t="s">
        <v>13</v>
      </c>
      <c r="D40" s="6" t="s">
        <v>100</v>
      </c>
      <c r="E40" s="5" t="s">
        <v>101</v>
      </c>
      <c r="F40" s="4">
        <v>328909.86</v>
      </c>
      <c r="G40" s="3"/>
      <c r="H40" s="3">
        <v>329734.2</v>
      </c>
      <c r="I40" s="3">
        <v>16486.71</v>
      </c>
      <c r="J40" s="3">
        <v>17311.05</v>
      </c>
      <c r="K40" s="42"/>
      <c r="L40" s="42"/>
      <c r="M40" s="42"/>
      <c r="N40" s="42"/>
      <c r="O40" s="42"/>
    </row>
    <row r="41" spans="1:15" ht="34.5" customHeight="1" x14ac:dyDescent="0.3">
      <c r="A41" s="11">
        <v>44831</v>
      </c>
      <c r="B41" s="10" t="s">
        <v>43</v>
      </c>
      <c r="C41" s="7" t="s">
        <v>13</v>
      </c>
      <c r="D41" s="6" t="s">
        <v>102</v>
      </c>
      <c r="E41" s="5" t="s">
        <v>103</v>
      </c>
      <c r="F41" s="4">
        <v>83054.84</v>
      </c>
      <c r="G41" s="3"/>
      <c r="H41" s="3">
        <v>83263</v>
      </c>
      <c r="I41" s="3">
        <v>4163.1499999999996</v>
      </c>
      <c r="J41" s="3">
        <v>4371.3100000000004</v>
      </c>
      <c r="K41" s="42"/>
      <c r="L41" s="42"/>
      <c r="M41" s="42"/>
      <c r="N41" s="42"/>
      <c r="O41" s="42"/>
    </row>
    <row r="42" spans="1:15" ht="34.5" customHeight="1" x14ac:dyDescent="0.3">
      <c r="A42" s="11">
        <v>44831</v>
      </c>
      <c r="B42" s="10" t="s">
        <v>43</v>
      </c>
      <c r="C42" s="7" t="s">
        <v>13</v>
      </c>
      <c r="D42" s="6" t="s">
        <v>104</v>
      </c>
      <c r="E42" s="5" t="s">
        <v>105</v>
      </c>
      <c r="F42" s="4">
        <v>418610.85</v>
      </c>
      <c r="G42" s="3"/>
      <c r="H42" s="3">
        <v>419660</v>
      </c>
      <c r="I42" s="3">
        <v>20983</v>
      </c>
      <c r="J42" s="3">
        <v>22032.15</v>
      </c>
      <c r="K42" s="42"/>
      <c r="L42" s="42"/>
      <c r="M42" s="42"/>
      <c r="N42" s="42"/>
      <c r="O42" s="42"/>
    </row>
    <row r="43" spans="1:15" ht="34.5" customHeight="1" x14ac:dyDescent="0.3">
      <c r="A43" s="11">
        <v>44831</v>
      </c>
      <c r="B43" s="10" t="s">
        <v>43</v>
      </c>
      <c r="C43" s="7" t="s">
        <v>13</v>
      </c>
      <c r="D43" s="6" t="s">
        <v>106</v>
      </c>
      <c r="E43" s="5" t="s">
        <v>107</v>
      </c>
      <c r="F43" s="4">
        <v>83054.84</v>
      </c>
      <c r="G43" s="3"/>
      <c r="H43" s="3">
        <v>83263</v>
      </c>
      <c r="I43" s="3">
        <v>4163.1499999999996</v>
      </c>
      <c r="J43" s="3">
        <v>4371.3100000000004</v>
      </c>
      <c r="K43" s="42"/>
      <c r="L43" s="42"/>
      <c r="M43" s="42"/>
      <c r="N43" s="42"/>
      <c r="O43" s="42"/>
    </row>
    <row r="44" spans="1:15" ht="34.5" customHeight="1" x14ac:dyDescent="0.3">
      <c r="A44" s="11">
        <v>44833</v>
      </c>
      <c r="B44" s="10" t="s">
        <v>43</v>
      </c>
      <c r="C44" s="7" t="s">
        <v>13</v>
      </c>
      <c r="D44" s="6" t="s">
        <v>108</v>
      </c>
      <c r="E44" s="5" t="s">
        <v>109</v>
      </c>
      <c r="F44" s="4">
        <v>12782.96</v>
      </c>
      <c r="G44" s="3"/>
      <c r="H44" s="3">
        <v>12815</v>
      </c>
      <c r="I44" s="3">
        <v>640.75</v>
      </c>
      <c r="J44" s="3">
        <v>672.79</v>
      </c>
      <c r="K44" s="42"/>
      <c r="L44" s="42"/>
      <c r="M44" s="42"/>
      <c r="N44" s="42"/>
      <c r="O44" s="42"/>
    </row>
    <row r="45" spans="1:15" ht="34.5" customHeight="1" x14ac:dyDescent="0.3">
      <c r="A45" s="11">
        <v>44841</v>
      </c>
      <c r="B45" s="10" t="s">
        <v>43</v>
      </c>
      <c r="C45" s="7" t="s">
        <v>13</v>
      </c>
      <c r="D45" s="6" t="s">
        <v>110</v>
      </c>
      <c r="E45" s="5" t="s">
        <v>111</v>
      </c>
      <c r="F45" s="4">
        <v>83054.84</v>
      </c>
      <c r="G45" s="3"/>
      <c r="H45" s="3">
        <v>83263</v>
      </c>
      <c r="I45" s="3">
        <v>4163.1499999999996</v>
      </c>
      <c r="J45" s="3">
        <v>4371.3100000000004</v>
      </c>
      <c r="K45" s="42"/>
      <c r="L45" s="42"/>
      <c r="M45" s="42"/>
      <c r="N45" s="42"/>
      <c r="O45" s="42"/>
    </row>
    <row r="46" spans="1:15" ht="34.5" customHeight="1" x14ac:dyDescent="0.3">
      <c r="A46" s="11">
        <v>44882</v>
      </c>
      <c r="B46" s="10" t="s">
        <v>43</v>
      </c>
      <c r="C46" s="7" t="s">
        <v>13</v>
      </c>
      <c r="D46" s="6" t="s">
        <v>112</v>
      </c>
      <c r="E46" s="5" t="s">
        <v>113</v>
      </c>
      <c r="F46" s="4">
        <v>113253.16</v>
      </c>
      <c r="G46" s="3"/>
      <c r="H46" s="3">
        <v>113537</v>
      </c>
      <c r="I46" s="3">
        <v>5676.85</v>
      </c>
      <c r="J46" s="3">
        <v>5960.69</v>
      </c>
      <c r="K46" s="42"/>
      <c r="L46" s="42"/>
      <c r="M46" s="42"/>
      <c r="N46" s="42"/>
      <c r="O46" s="42"/>
    </row>
    <row r="47" spans="1:15" ht="34.5" customHeight="1" x14ac:dyDescent="0.3">
      <c r="A47" s="11">
        <v>44882</v>
      </c>
      <c r="B47" s="10" t="s">
        <v>43</v>
      </c>
      <c r="C47" s="7" t="s">
        <v>13</v>
      </c>
      <c r="D47" s="6" t="s">
        <v>114</v>
      </c>
      <c r="E47" s="5" t="s">
        <v>115</v>
      </c>
      <c r="F47" s="4">
        <v>111000.8</v>
      </c>
      <c r="G47" s="3"/>
      <c r="H47" s="3">
        <v>111279</v>
      </c>
      <c r="I47" s="3">
        <v>5563.95</v>
      </c>
      <c r="J47" s="3">
        <v>5842.15</v>
      </c>
      <c r="K47" s="42"/>
      <c r="L47" s="42"/>
      <c r="M47" s="42"/>
      <c r="N47" s="42"/>
      <c r="O47" s="42"/>
    </row>
    <row r="48" spans="1:15" ht="34.5" customHeight="1" x14ac:dyDescent="0.3">
      <c r="A48" s="11">
        <v>44882</v>
      </c>
      <c r="B48" s="10" t="s">
        <v>43</v>
      </c>
      <c r="C48" s="7" t="s">
        <v>13</v>
      </c>
      <c r="D48" s="6" t="s">
        <v>116</v>
      </c>
      <c r="E48" s="5" t="s">
        <v>117</v>
      </c>
      <c r="F48" s="4">
        <v>14713.12</v>
      </c>
      <c r="G48" s="3"/>
      <c r="H48" s="3">
        <v>14750</v>
      </c>
      <c r="I48" s="3">
        <v>737.5</v>
      </c>
      <c r="J48" s="3">
        <v>774.38</v>
      </c>
      <c r="K48" s="42"/>
      <c r="L48" s="42"/>
      <c r="M48" s="42"/>
      <c r="N48" s="42"/>
      <c r="O48" s="42"/>
    </row>
    <row r="49" spans="1:15" ht="34.5" customHeight="1" x14ac:dyDescent="0.3">
      <c r="A49" s="11">
        <v>44887</v>
      </c>
      <c r="B49" s="10" t="s">
        <v>43</v>
      </c>
      <c r="C49" s="7" t="s">
        <v>13</v>
      </c>
      <c r="D49" s="6" t="s">
        <v>118</v>
      </c>
      <c r="E49" s="5" t="s">
        <v>119</v>
      </c>
      <c r="F49" s="4">
        <v>24355.46</v>
      </c>
      <c r="G49" s="3"/>
      <c r="H49" s="3">
        <v>24416.5</v>
      </c>
      <c r="I49" s="3">
        <v>1220.83</v>
      </c>
      <c r="J49" s="3">
        <v>1281.8699999999999</v>
      </c>
      <c r="K49" s="42"/>
      <c r="L49" s="42"/>
      <c r="M49" s="42"/>
      <c r="N49" s="42"/>
      <c r="O49" s="42"/>
    </row>
    <row r="50" spans="1:15" ht="34.5" customHeight="1" x14ac:dyDescent="0.3">
      <c r="A50" s="11">
        <v>44887</v>
      </c>
      <c r="B50" s="10" t="s">
        <v>43</v>
      </c>
      <c r="C50" s="7" t="s">
        <v>13</v>
      </c>
      <c r="D50" s="6" t="s">
        <v>120</v>
      </c>
      <c r="E50" s="5" t="s">
        <v>121</v>
      </c>
      <c r="F50" s="4">
        <v>19835.61</v>
      </c>
      <c r="G50" s="3"/>
      <c r="H50" s="3">
        <v>19885.32</v>
      </c>
      <c r="I50" s="3">
        <v>994.27</v>
      </c>
      <c r="J50" s="3">
        <v>1043.98</v>
      </c>
      <c r="K50" s="42"/>
      <c r="L50" s="42"/>
      <c r="M50" s="42"/>
      <c r="N50" s="42"/>
      <c r="O50" s="42"/>
    </row>
    <row r="51" spans="1:15" ht="34.5" customHeight="1" x14ac:dyDescent="0.3">
      <c r="A51" s="11">
        <v>44889</v>
      </c>
      <c r="B51" s="10" t="s">
        <v>43</v>
      </c>
      <c r="C51" s="7" t="s">
        <v>13</v>
      </c>
      <c r="D51" s="6" t="s">
        <v>122</v>
      </c>
      <c r="E51" s="5" t="s">
        <v>123</v>
      </c>
      <c r="F51" s="4">
        <v>14487.88</v>
      </c>
      <c r="G51" s="3"/>
      <c r="H51" s="3">
        <v>14524.19</v>
      </c>
      <c r="I51" s="3">
        <v>726.21</v>
      </c>
      <c r="J51" s="3">
        <v>762.52</v>
      </c>
      <c r="K51" s="42"/>
      <c r="L51" s="42"/>
      <c r="M51" s="42"/>
      <c r="N51" s="42"/>
      <c r="O51" s="42"/>
    </row>
    <row r="52" spans="1:15" ht="34.5" customHeight="1" x14ac:dyDescent="0.3">
      <c r="A52" s="11">
        <v>44893</v>
      </c>
      <c r="B52" s="10" t="s">
        <v>43</v>
      </c>
      <c r="C52" s="7" t="s">
        <v>13</v>
      </c>
      <c r="D52" s="6" t="s">
        <v>124</v>
      </c>
      <c r="E52" s="5" t="s">
        <v>125</v>
      </c>
      <c r="F52" s="4">
        <v>19980.919999999998</v>
      </c>
      <c r="G52" s="3"/>
      <c r="H52" s="3">
        <v>20031</v>
      </c>
      <c r="I52" s="3">
        <v>1001.55</v>
      </c>
      <c r="J52" s="3">
        <v>1051.6300000000001</v>
      </c>
      <c r="K52" s="42"/>
      <c r="L52" s="42"/>
      <c r="M52" s="42"/>
      <c r="N52" s="42"/>
      <c r="O52" s="42"/>
    </row>
    <row r="53" spans="1:15" ht="34.5" customHeight="1" x14ac:dyDescent="0.3">
      <c r="A53" s="11">
        <v>44893</v>
      </c>
      <c r="B53" s="10" t="s">
        <v>43</v>
      </c>
      <c r="C53" s="7" t="s">
        <v>13</v>
      </c>
      <c r="D53" s="6" t="s">
        <v>126</v>
      </c>
      <c r="E53" s="5" t="s">
        <v>125</v>
      </c>
      <c r="F53" s="4">
        <v>24355.46</v>
      </c>
      <c r="G53" s="3"/>
      <c r="H53" s="3">
        <v>24416.5</v>
      </c>
      <c r="I53" s="3">
        <v>1220.83</v>
      </c>
      <c r="J53" s="3">
        <v>1281.8699999999999</v>
      </c>
      <c r="K53" s="42"/>
      <c r="L53" s="42"/>
      <c r="M53" s="42"/>
      <c r="N53" s="42"/>
      <c r="O53" s="42"/>
    </row>
    <row r="54" spans="1:15" ht="34.5" customHeight="1" x14ac:dyDescent="0.3">
      <c r="A54" s="11">
        <v>44907</v>
      </c>
      <c r="B54" s="10" t="s">
        <v>43</v>
      </c>
      <c r="C54" s="7" t="s">
        <v>13</v>
      </c>
      <c r="D54" s="6" t="s">
        <v>127</v>
      </c>
      <c r="E54" s="5" t="s">
        <v>128</v>
      </c>
      <c r="F54" s="4">
        <v>109990.12</v>
      </c>
      <c r="G54" s="3"/>
      <c r="H54" s="3">
        <v>110265.78</v>
      </c>
      <c r="I54" s="3">
        <v>5513.29</v>
      </c>
      <c r="J54" s="3">
        <v>5788.95</v>
      </c>
      <c r="K54" s="42"/>
      <c r="L54" s="42"/>
      <c r="M54" s="42"/>
      <c r="N54" s="42"/>
      <c r="O54" s="42"/>
    </row>
    <row r="55" spans="1:15" ht="34.5" customHeight="1" x14ac:dyDescent="0.3">
      <c r="A55" s="11">
        <v>44911</v>
      </c>
      <c r="B55" s="10" t="s">
        <v>43</v>
      </c>
      <c r="C55" s="7" t="s">
        <v>13</v>
      </c>
      <c r="D55" s="6" t="s">
        <v>129</v>
      </c>
      <c r="E55" s="5" t="s">
        <v>130</v>
      </c>
      <c r="F55" s="4">
        <v>22367.11</v>
      </c>
      <c r="G55" s="3"/>
      <c r="H55" s="3">
        <v>22423.17</v>
      </c>
      <c r="I55" s="3">
        <v>1121.1600000000001</v>
      </c>
      <c r="J55" s="3">
        <v>1177.22</v>
      </c>
      <c r="K55" s="42"/>
      <c r="L55" s="42"/>
      <c r="M55" s="42"/>
      <c r="N55" s="42"/>
      <c r="O55" s="42"/>
    </row>
    <row r="56" spans="1:15" ht="34.5" customHeight="1" x14ac:dyDescent="0.3">
      <c r="A56" s="11">
        <v>44911</v>
      </c>
      <c r="B56" s="10" t="s">
        <v>43</v>
      </c>
      <c r="C56" s="7" t="s">
        <v>13</v>
      </c>
      <c r="D56" s="6" t="s">
        <v>131</v>
      </c>
      <c r="E56" s="5" t="s">
        <v>132</v>
      </c>
      <c r="F56" s="4">
        <v>19980.919999999998</v>
      </c>
      <c r="G56" s="3"/>
      <c r="H56" s="3">
        <v>20031</v>
      </c>
      <c r="I56" s="3">
        <v>1001.55</v>
      </c>
      <c r="J56" s="3">
        <v>1051.6300000000001</v>
      </c>
      <c r="K56" s="42"/>
      <c r="L56" s="42"/>
      <c r="M56" s="42"/>
      <c r="N56" s="42"/>
      <c r="O56" s="42"/>
    </row>
    <row r="57" spans="1:15" ht="34.5" customHeight="1" x14ac:dyDescent="0.3">
      <c r="A57" s="11">
        <v>44911</v>
      </c>
      <c r="B57" s="10" t="s">
        <v>43</v>
      </c>
      <c r="C57" s="7" t="s">
        <v>13</v>
      </c>
      <c r="D57" s="6" t="s">
        <v>133</v>
      </c>
      <c r="E57" s="5" t="s">
        <v>134</v>
      </c>
      <c r="F57" s="4">
        <v>14234.32</v>
      </c>
      <c r="G57" s="3"/>
      <c r="H57" s="3">
        <v>14270</v>
      </c>
      <c r="I57" s="3">
        <v>713.5</v>
      </c>
      <c r="J57" s="3">
        <v>749.18</v>
      </c>
      <c r="K57" s="42"/>
      <c r="L57" s="42"/>
      <c r="M57" s="42"/>
      <c r="N57" s="42"/>
      <c r="O57" s="42"/>
    </row>
    <row r="58" spans="1:15" ht="34.5" customHeight="1" x14ac:dyDescent="0.3">
      <c r="A58" s="11">
        <v>44936</v>
      </c>
      <c r="B58" s="10" t="s">
        <v>43</v>
      </c>
      <c r="C58" s="7" t="s">
        <v>13</v>
      </c>
      <c r="D58" s="6" t="s">
        <v>135</v>
      </c>
      <c r="E58" s="5" t="s">
        <v>136</v>
      </c>
      <c r="F58" s="4">
        <v>85013.440000000002</v>
      </c>
      <c r="G58" s="3"/>
      <c r="H58" s="3">
        <v>85226.5</v>
      </c>
      <c r="I58" s="3">
        <v>4261.33</v>
      </c>
      <c r="J58" s="3">
        <v>4474.3900000000003</v>
      </c>
      <c r="K58" s="42"/>
      <c r="L58" s="42"/>
      <c r="M58" s="42"/>
      <c r="N58" s="42"/>
      <c r="O58" s="42"/>
    </row>
    <row r="59" spans="1:15" ht="34.5" customHeight="1" x14ac:dyDescent="0.3">
      <c r="A59" s="11">
        <v>44936</v>
      </c>
      <c r="B59" s="10" t="s">
        <v>43</v>
      </c>
      <c r="C59" s="7" t="s">
        <v>13</v>
      </c>
      <c r="D59" s="6" t="s">
        <v>137</v>
      </c>
      <c r="E59" s="5" t="s">
        <v>138</v>
      </c>
      <c r="F59" s="4">
        <v>85013.440000000002</v>
      </c>
      <c r="G59" s="3"/>
      <c r="H59" s="3">
        <v>85226.5</v>
      </c>
      <c r="I59" s="3">
        <v>4261.33</v>
      </c>
      <c r="J59" s="3">
        <v>4474.3900000000003</v>
      </c>
      <c r="K59" s="42"/>
      <c r="L59" s="42"/>
      <c r="M59" s="42"/>
      <c r="N59" s="42"/>
      <c r="O59" s="42"/>
    </row>
    <row r="60" spans="1:15" ht="34.5" customHeight="1" x14ac:dyDescent="0.3">
      <c r="A60" s="11">
        <v>44936</v>
      </c>
      <c r="B60" s="10" t="s">
        <v>43</v>
      </c>
      <c r="C60" s="7" t="s">
        <v>13</v>
      </c>
      <c r="D60" s="6" t="s">
        <v>139</v>
      </c>
      <c r="E60" s="5" t="s">
        <v>140</v>
      </c>
      <c r="F60" s="4">
        <v>85013.440000000002</v>
      </c>
      <c r="G60" s="3"/>
      <c r="H60" s="3">
        <v>85226.5</v>
      </c>
      <c r="I60" s="3">
        <v>4261.33</v>
      </c>
      <c r="J60" s="3">
        <v>4474.3900000000003</v>
      </c>
      <c r="K60" s="42"/>
      <c r="L60" s="42"/>
      <c r="M60" s="42"/>
      <c r="N60" s="42"/>
      <c r="O60" s="42"/>
    </row>
    <row r="61" spans="1:15" ht="34.5" customHeight="1" x14ac:dyDescent="0.3">
      <c r="A61" s="11">
        <v>44936</v>
      </c>
      <c r="B61" s="10" t="s">
        <v>43</v>
      </c>
      <c r="C61" s="7" t="s">
        <v>13</v>
      </c>
      <c r="D61" s="6" t="s">
        <v>141</v>
      </c>
      <c r="E61" s="5" t="s">
        <v>142</v>
      </c>
      <c r="F61" s="4">
        <v>14713.12</v>
      </c>
      <c r="G61" s="3"/>
      <c r="H61" s="3">
        <v>14750</v>
      </c>
      <c r="I61" s="3">
        <v>737.5</v>
      </c>
      <c r="J61" s="3">
        <v>774.38</v>
      </c>
      <c r="K61" s="42"/>
      <c r="L61" s="42"/>
      <c r="M61" s="42"/>
      <c r="N61" s="42"/>
      <c r="O61" s="42"/>
    </row>
    <row r="62" spans="1:15" ht="34.5" customHeight="1" x14ac:dyDescent="0.3">
      <c r="A62" s="11">
        <v>44936</v>
      </c>
      <c r="B62" s="10" t="s">
        <v>43</v>
      </c>
      <c r="C62" s="7" t="s">
        <v>13</v>
      </c>
      <c r="D62" s="6" t="s">
        <v>143</v>
      </c>
      <c r="E62" s="5" t="s">
        <v>144</v>
      </c>
      <c r="F62" s="4">
        <v>109184.38</v>
      </c>
      <c r="G62" s="3"/>
      <c r="H62" s="3">
        <v>109458.03</v>
      </c>
      <c r="I62" s="3">
        <v>5472.9</v>
      </c>
      <c r="J62" s="3">
        <v>5746.55</v>
      </c>
      <c r="K62" s="42"/>
      <c r="L62" s="42"/>
      <c r="M62" s="42"/>
      <c r="N62" s="42"/>
      <c r="O62" s="42"/>
    </row>
    <row r="63" spans="1:15" ht="34.5" customHeight="1" x14ac:dyDescent="0.3">
      <c r="A63" s="11">
        <v>44942</v>
      </c>
      <c r="B63" s="10" t="s">
        <v>43</v>
      </c>
      <c r="C63" s="7" t="s">
        <v>13</v>
      </c>
      <c r="D63" s="6" t="s">
        <v>145</v>
      </c>
      <c r="E63" s="5" t="s">
        <v>146</v>
      </c>
      <c r="F63" s="4">
        <v>85013.440000000002</v>
      </c>
      <c r="G63" s="3"/>
      <c r="H63" s="3">
        <v>85226.5</v>
      </c>
      <c r="I63" s="3">
        <v>4261.33</v>
      </c>
      <c r="J63" s="3">
        <v>4474.3900000000003</v>
      </c>
      <c r="K63" s="42"/>
      <c r="L63" s="42"/>
      <c r="M63" s="42"/>
      <c r="N63" s="42"/>
      <c r="O63" s="42"/>
    </row>
    <row r="64" spans="1:15" ht="34.5" customHeight="1" x14ac:dyDescent="0.3">
      <c r="A64" s="11">
        <v>44977</v>
      </c>
      <c r="B64" s="10" t="s">
        <v>43</v>
      </c>
      <c r="C64" s="7" t="s">
        <v>13</v>
      </c>
      <c r="D64" s="6" t="s">
        <v>147</v>
      </c>
      <c r="E64" s="5" t="s">
        <v>148</v>
      </c>
      <c r="F64" s="4">
        <v>24355.46</v>
      </c>
      <c r="G64" s="3"/>
      <c r="H64" s="3">
        <v>24416.5</v>
      </c>
      <c r="I64" s="3">
        <v>1220.83</v>
      </c>
      <c r="J64" s="3">
        <v>1281.8699999999999</v>
      </c>
      <c r="K64" s="42"/>
      <c r="L64" s="42"/>
      <c r="M64" s="42"/>
      <c r="N64" s="42"/>
      <c r="O64" s="42"/>
    </row>
    <row r="65" spans="1:15" ht="34.5" customHeight="1" x14ac:dyDescent="0.3">
      <c r="A65" s="11">
        <v>44977</v>
      </c>
      <c r="B65" s="10" t="s">
        <v>43</v>
      </c>
      <c r="C65" s="7" t="s">
        <v>13</v>
      </c>
      <c r="D65" s="6" t="s">
        <v>149</v>
      </c>
      <c r="E65" s="5" t="s">
        <v>150</v>
      </c>
      <c r="F65" s="4">
        <v>17728.57</v>
      </c>
      <c r="G65" s="3"/>
      <c r="H65" s="3">
        <v>17773</v>
      </c>
      <c r="I65" s="3">
        <v>888.65</v>
      </c>
      <c r="J65" s="3">
        <v>933.08</v>
      </c>
      <c r="K65" s="42"/>
      <c r="L65" s="42"/>
      <c r="M65" s="42"/>
      <c r="N65" s="42"/>
      <c r="O65" s="42"/>
    </row>
    <row r="66" spans="1:15" ht="34.5" customHeight="1" x14ac:dyDescent="0.3">
      <c r="A66" s="11">
        <v>45013</v>
      </c>
      <c r="B66" s="10" t="s">
        <v>43</v>
      </c>
      <c r="C66" s="7" t="s">
        <v>13</v>
      </c>
      <c r="D66" s="6" t="s">
        <v>151</v>
      </c>
      <c r="E66" s="5" t="s">
        <v>152</v>
      </c>
      <c r="F66" s="4">
        <v>112671.9</v>
      </c>
      <c r="G66" s="3"/>
      <c r="H66" s="3">
        <v>112954.29</v>
      </c>
      <c r="I66" s="3">
        <v>5647.71</v>
      </c>
      <c r="J66" s="3">
        <v>5930.1</v>
      </c>
      <c r="K66" s="42"/>
      <c r="L66" s="42"/>
      <c r="M66" s="42"/>
      <c r="N66" s="42"/>
      <c r="O66" s="42"/>
    </row>
    <row r="67" spans="1:15" ht="34.5" customHeight="1" x14ac:dyDescent="0.3">
      <c r="A67" s="11">
        <v>45015</v>
      </c>
      <c r="B67" s="10" t="s">
        <v>43</v>
      </c>
      <c r="C67" s="7" t="s">
        <v>13</v>
      </c>
      <c r="D67" s="6" t="s">
        <v>153</v>
      </c>
      <c r="E67" s="5" t="s">
        <v>154</v>
      </c>
      <c r="F67" s="4">
        <v>14249.76</v>
      </c>
      <c r="G67" s="3"/>
      <c r="H67" s="3">
        <v>14285.48</v>
      </c>
      <c r="I67" s="3">
        <v>714.27</v>
      </c>
      <c r="J67" s="3">
        <v>749.99</v>
      </c>
      <c r="K67" s="42"/>
      <c r="L67" s="42"/>
      <c r="M67" s="42"/>
      <c r="N67" s="42"/>
      <c r="O67" s="42"/>
    </row>
    <row r="68" spans="1:15" ht="34.5" customHeight="1" x14ac:dyDescent="0.3">
      <c r="A68" s="11">
        <v>45015</v>
      </c>
      <c r="B68" s="10" t="s">
        <v>43</v>
      </c>
      <c r="C68" s="7" t="s">
        <v>13</v>
      </c>
      <c r="D68" s="6" t="s">
        <v>155</v>
      </c>
      <c r="E68" s="5" t="s">
        <v>156</v>
      </c>
      <c r="F68" s="4">
        <v>113253.16</v>
      </c>
      <c r="G68" s="3"/>
      <c r="H68" s="3">
        <v>113537</v>
      </c>
      <c r="I68" s="3">
        <v>5676.85</v>
      </c>
      <c r="J68" s="3">
        <v>5960.69</v>
      </c>
      <c r="K68" s="42"/>
      <c r="L68" s="42"/>
      <c r="M68" s="42"/>
      <c r="N68" s="42"/>
      <c r="O68" s="42"/>
    </row>
    <row r="69" spans="1:15" ht="34.5" customHeight="1" x14ac:dyDescent="0.3">
      <c r="A69" s="11">
        <v>45015</v>
      </c>
      <c r="B69" s="10" t="s">
        <v>43</v>
      </c>
      <c r="C69" s="7" t="s">
        <v>13</v>
      </c>
      <c r="D69" s="6" t="s">
        <v>157</v>
      </c>
      <c r="E69" s="5" t="s">
        <v>158</v>
      </c>
      <c r="F69" s="4">
        <v>14713.12</v>
      </c>
      <c r="G69" s="3"/>
      <c r="H69" s="3">
        <v>14750</v>
      </c>
      <c r="I69" s="3">
        <v>737.5</v>
      </c>
      <c r="J69" s="3">
        <v>774.38</v>
      </c>
      <c r="K69" s="42"/>
      <c r="L69" s="42"/>
      <c r="M69" s="42"/>
      <c r="N69" s="42"/>
      <c r="O69" s="42"/>
    </row>
    <row r="70" spans="1:15" ht="34.5" customHeight="1" x14ac:dyDescent="0.3">
      <c r="A70" s="11">
        <v>45027</v>
      </c>
      <c r="B70" s="10" t="s">
        <v>43</v>
      </c>
      <c r="C70" s="7" t="s">
        <v>13</v>
      </c>
      <c r="D70" s="6" t="s">
        <v>159</v>
      </c>
      <c r="E70" s="5" t="s">
        <v>160</v>
      </c>
      <c r="F70" s="4">
        <v>112223.71</v>
      </c>
      <c r="G70" s="3"/>
      <c r="H70" s="3">
        <v>112504.97</v>
      </c>
      <c r="I70" s="3">
        <v>5625.25</v>
      </c>
      <c r="J70" s="3">
        <v>5906.51</v>
      </c>
      <c r="K70" s="42"/>
      <c r="L70" s="42"/>
      <c r="M70" s="42"/>
      <c r="N70" s="42"/>
      <c r="O70" s="42"/>
    </row>
    <row r="71" spans="1:15" ht="34.5" customHeight="1" x14ac:dyDescent="0.3">
      <c r="A71" s="11">
        <v>45027</v>
      </c>
      <c r="B71" s="10" t="s">
        <v>43</v>
      </c>
      <c r="C71" s="7" t="s">
        <v>13</v>
      </c>
      <c r="D71" s="6" t="s">
        <v>161</v>
      </c>
      <c r="E71" s="5" t="s">
        <v>162</v>
      </c>
      <c r="F71" s="4">
        <v>14713.12</v>
      </c>
      <c r="G71" s="3"/>
      <c r="H71" s="3">
        <v>14750</v>
      </c>
      <c r="I71" s="3">
        <v>737.5</v>
      </c>
      <c r="J71" s="3">
        <v>774.38</v>
      </c>
      <c r="K71" s="42"/>
      <c r="L71" s="42"/>
      <c r="M71" s="42"/>
      <c r="N71" s="42"/>
      <c r="O71" s="42"/>
    </row>
    <row r="72" spans="1:15" ht="34.5" customHeight="1" x14ac:dyDescent="0.3">
      <c r="A72" s="11">
        <v>45048</v>
      </c>
      <c r="B72" s="10" t="s">
        <v>43</v>
      </c>
      <c r="C72" s="7" t="s">
        <v>13</v>
      </c>
      <c r="D72" s="6" t="s">
        <v>163</v>
      </c>
      <c r="E72" s="5" t="s">
        <v>164</v>
      </c>
      <c r="F72" s="4">
        <v>31395.82</v>
      </c>
      <c r="G72" s="3"/>
      <c r="H72" s="3">
        <v>31474.5</v>
      </c>
      <c r="I72" s="3">
        <v>1573.73</v>
      </c>
      <c r="J72" s="3">
        <v>1652.41</v>
      </c>
      <c r="K72" s="42"/>
      <c r="L72" s="42"/>
      <c r="M72" s="42"/>
      <c r="N72" s="42"/>
      <c r="O72" s="42"/>
    </row>
    <row r="73" spans="1:15" ht="34.5" customHeight="1" x14ac:dyDescent="0.3">
      <c r="A73" s="11">
        <v>45048</v>
      </c>
      <c r="B73" s="10" t="s">
        <v>43</v>
      </c>
      <c r="C73" s="7" t="s">
        <v>13</v>
      </c>
      <c r="D73" s="6" t="s">
        <v>165</v>
      </c>
      <c r="E73" s="5" t="s">
        <v>166</v>
      </c>
      <c r="F73" s="4">
        <v>19980.919999999998</v>
      </c>
      <c r="G73" s="3"/>
      <c r="H73" s="3">
        <v>20031</v>
      </c>
      <c r="I73" s="3">
        <v>1001.55</v>
      </c>
      <c r="J73" s="3">
        <v>1051.6300000000001</v>
      </c>
      <c r="K73" s="42"/>
      <c r="L73" s="42"/>
      <c r="M73" s="42"/>
      <c r="N73" s="42"/>
      <c r="O73" s="42"/>
    </row>
    <row r="74" spans="1:15" ht="34.5" customHeight="1" x14ac:dyDescent="0.3">
      <c r="A74" s="11">
        <v>45048</v>
      </c>
      <c r="B74" s="10" t="s">
        <v>43</v>
      </c>
      <c r="C74" s="7" t="s">
        <v>13</v>
      </c>
      <c r="D74" s="6" t="s">
        <v>167</v>
      </c>
      <c r="E74" s="5" t="s">
        <v>168</v>
      </c>
      <c r="F74" s="4">
        <v>31395.82</v>
      </c>
      <c r="G74" s="3"/>
      <c r="H74" s="3">
        <v>31474.5</v>
      </c>
      <c r="I74" s="3">
        <v>1573.73</v>
      </c>
      <c r="J74" s="3">
        <v>1652.41</v>
      </c>
      <c r="K74" s="42"/>
      <c r="L74" s="42"/>
      <c r="M74" s="42"/>
      <c r="N74" s="42"/>
      <c r="O74" s="42"/>
    </row>
    <row r="75" spans="1:15" ht="34.5" customHeight="1" x14ac:dyDescent="0.3">
      <c r="A75" s="11">
        <v>45048</v>
      </c>
      <c r="B75" s="10" t="s">
        <v>43</v>
      </c>
      <c r="C75" s="7" t="s">
        <v>13</v>
      </c>
      <c r="D75" s="6" t="s">
        <v>169</v>
      </c>
      <c r="E75" s="5" t="s">
        <v>170</v>
      </c>
      <c r="F75" s="4">
        <v>19980.919999999998</v>
      </c>
      <c r="G75" s="3"/>
      <c r="H75" s="3">
        <v>20031</v>
      </c>
      <c r="I75" s="3">
        <v>1001.55</v>
      </c>
      <c r="J75" s="3">
        <v>1051.6300000000001</v>
      </c>
      <c r="K75" s="42"/>
      <c r="L75" s="42"/>
      <c r="M75" s="42"/>
      <c r="N75" s="42"/>
      <c r="O75" s="42"/>
    </row>
    <row r="76" spans="1:15" ht="34.5" customHeight="1" x14ac:dyDescent="0.3">
      <c r="A76" s="11">
        <v>45048</v>
      </c>
      <c r="B76" s="10" t="s">
        <v>43</v>
      </c>
      <c r="C76" s="7" t="s">
        <v>13</v>
      </c>
      <c r="D76" s="6" t="s">
        <v>171</v>
      </c>
      <c r="E76" s="5" t="s">
        <v>172</v>
      </c>
      <c r="F76" s="4">
        <v>31395.82</v>
      </c>
      <c r="G76" s="3"/>
      <c r="H76" s="3">
        <v>31474.5</v>
      </c>
      <c r="I76" s="3">
        <v>1573.73</v>
      </c>
      <c r="J76" s="3">
        <v>1652.41</v>
      </c>
      <c r="K76" s="42"/>
      <c r="L76" s="42"/>
      <c r="M76" s="42"/>
      <c r="N76" s="42"/>
      <c r="O76" s="42"/>
    </row>
    <row r="77" spans="1:15" ht="34.5" customHeight="1" x14ac:dyDescent="0.3">
      <c r="A77" s="11">
        <v>45048</v>
      </c>
      <c r="B77" s="10" t="s">
        <v>43</v>
      </c>
      <c r="C77" s="7" t="s">
        <v>13</v>
      </c>
      <c r="D77" s="6" t="s">
        <v>173</v>
      </c>
      <c r="E77" s="5" t="s">
        <v>174</v>
      </c>
      <c r="F77" s="4">
        <v>19980.919999999998</v>
      </c>
      <c r="G77" s="3"/>
      <c r="H77" s="3">
        <v>20031</v>
      </c>
      <c r="I77" s="3">
        <v>1001.55</v>
      </c>
      <c r="J77" s="3">
        <v>1051.6300000000001</v>
      </c>
      <c r="K77" s="42"/>
      <c r="L77" s="42"/>
      <c r="M77" s="42"/>
      <c r="N77" s="42"/>
      <c r="O77" s="42"/>
    </row>
    <row r="78" spans="1:15" ht="34.5" customHeight="1" x14ac:dyDescent="0.3">
      <c r="A78" s="11">
        <v>45054</v>
      </c>
      <c r="B78" s="10" t="s">
        <v>43</v>
      </c>
      <c r="C78" s="7" t="s">
        <v>13</v>
      </c>
      <c r="D78" s="6" t="s">
        <v>175</v>
      </c>
      <c r="E78" s="5" t="s">
        <v>176</v>
      </c>
      <c r="F78" s="4">
        <v>112352.75</v>
      </c>
      <c r="G78" s="3"/>
      <c r="H78" s="3">
        <v>112634.33</v>
      </c>
      <c r="I78" s="3">
        <v>5631.72</v>
      </c>
      <c r="J78" s="3">
        <v>5913.3</v>
      </c>
      <c r="K78" s="42"/>
      <c r="L78" s="42"/>
      <c r="M78" s="42"/>
      <c r="N78" s="42"/>
      <c r="O78" s="42"/>
    </row>
    <row r="79" spans="1:15" ht="34.5" customHeight="1" x14ac:dyDescent="0.3">
      <c r="A79" s="11">
        <v>45061</v>
      </c>
      <c r="B79" s="10" t="s">
        <v>43</v>
      </c>
      <c r="C79" s="7" t="s">
        <v>13</v>
      </c>
      <c r="D79" s="6" t="s">
        <v>177</v>
      </c>
      <c r="E79" s="5" t="s">
        <v>178</v>
      </c>
      <c r="F79" s="4">
        <v>14713.12</v>
      </c>
      <c r="G79" s="3"/>
      <c r="H79" s="3">
        <v>14750</v>
      </c>
      <c r="I79" s="3">
        <v>737.5</v>
      </c>
      <c r="J79" s="3">
        <v>774.38</v>
      </c>
      <c r="K79" s="42"/>
      <c r="L79" s="42"/>
      <c r="M79" s="42"/>
      <c r="N79" s="42"/>
      <c r="O79" s="42"/>
    </row>
    <row r="80" spans="1:15" ht="34.5" customHeight="1" x14ac:dyDescent="0.3">
      <c r="A80" s="11">
        <v>45063</v>
      </c>
      <c r="B80" s="10" t="s">
        <v>43</v>
      </c>
      <c r="C80" s="7" t="s">
        <v>13</v>
      </c>
      <c r="D80" s="6" t="s">
        <v>179</v>
      </c>
      <c r="E80" s="5" t="s">
        <v>180</v>
      </c>
      <c r="F80" s="4">
        <v>31395.82</v>
      </c>
      <c r="G80" s="3"/>
      <c r="H80" s="3">
        <v>31474.5</v>
      </c>
      <c r="I80" s="3">
        <v>1573.73</v>
      </c>
      <c r="J80" s="3">
        <v>1652.41</v>
      </c>
      <c r="K80" s="42"/>
      <c r="L80" s="42"/>
      <c r="M80" s="42"/>
      <c r="N80" s="42"/>
      <c r="O80" s="42"/>
    </row>
    <row r="81" spans="1:15" ht="34.5" customHeight="1" x14ac:dyDescent="0.3">
      <c r="A81" s="11">
        <v>45063</v>
      </c>
      <c r="B81" s="10" t="s">
        <v>43</v>
      </c>
      <c r="C81" s="7" t="s">
        <v>13</v>
      </c>
      <c r="D81" s="6" t="s">
        <v>181</v>
      </c>
      <c r="E81" s="5" t="s">
        <v>182</v>
      </c>
      <c r="F81" s="4">
        <v>19980.919999999998</v>
      </c>
      <c r="G81" s="3"/>
      <c r="H81" s="3">
        <v>20031</v>
      </c>
      <c r="I81" s="3">
        <v>1001.55</v>
      </c>
      <c r="J81" s="3">
        <v>1051.6300000000001</v>
      </c>
      <c r="K81" s="42"/>
      <c r="L81" s="42"/>
      <c r="M81" s="42"/>
      <c r="N81" s="42"/>
      <c r="O81" s="42"/>
    </row>
    <row r="82" spans="1:15" ht="34.5" customHeight="1" x14ac:dyDescent="0.3">
      <c r="A82" s="11">
        <v>45100</v>
      </c>
      <c r="B82" s="10" t="s">
        <v>43</v>
      </c>
      <c r="C82" s="7" t="s">
        <v>13</v>
      </c>
      <c r="D82" s="6" t="s">
        <v>183</v>
      </c>
      <c r="E82" s="5" t="s">
        <v>184</v>
      </c>
      <c r="F82" s="4">
        <v>113253.16</v>
      </c>
      <c r="G82" s="3"/>
      <c r="H82" s="3">
        <v>113537</v>
      </c>
      <c r="I82" s="3">
        <v>5676.85</v>
      </c>
      <c r="J82" s="3">
        <v>5960.69</v>
      </c>
      <c r="K82" s="42"/>
      <c r="L82" s="42"/>
      <c r="M82" s="42"/>
      <c r="N82" s="42"/>
      <c r="O82" s="42"/>
    </row>
    <row r="83" spans="1:15" ht="34.5" customHeight="1" x14ac:dyDescent="0.3">
      <c r="A83" s="11">
        <v>45100</v>
      </c>
      <c r="B83" s="10" t="s">
        <v>43</v>
      </c>
      <c r="C83" s="7" t="s">
        <v>13</v>
      </c>
      <c r="D83" s="6" t="s">
        <v>185</v>
      </c>
      <c r="E83" s="5" t="s">
        <v>186</v>
      </c>
      <c r="F83" s="4">
        <v>14713.12</v>
      </c>
      <c r="G83" s="3"/>
      <c r="H83" s="3">
        <v>14750</v>
      </c>
      <c r="I83" s="3">
        <v>737.5</v>
      </c>
      <c r="J83" s="3">
        <v>774.38</v>
      </c>
      <c r="K83" s="42"/>
      <c r="L83" s="42"/>
      <c r="M83" s="42"/>
      <c r="N83" s="42"/>
      <c r="O83" s="42"/>
    </row>
    <row r="84" spans="1:15" ht="34.5" customHeight="1" x14ac:dyDescent="0.3">
      <c r="A84" s="11">
        <v>45114</v>
      </c>
      <c r="B84" s="10" t="s">
        <v>43</v>
      </c>
      <c r="C84" s="7" t="s">
        <v>13</v>
      </c>
      <c r="D84" s="6" t="s">
        <v>187</v>
      </c>
      <c r="E84" s="5" t="s">
        <v>188</v>
      </c>
      <c r="F84" s="4">
        <v>31395.82</v>
      </c>
      <c r="G84" s="3"/>
      <c r="H84" s="3">
        <v>31474.5</v>
      </c>
      <c r="I84" s="3">
        <v>1573.73</v>
      </c>
      <c r="J84" s="3">
        <v>1652.41</v>
      </c>
      <c r="K84" s="42"/>
      <c r="L84" s="42"/>
      <c r="M84" s="42"/>
      <c r="N84" s="42"/>
      <c r="O84" s="42"/>
    </row>
    <row r="85" spans="1:15" ht="34.5" customHeight="1" x14ac:dyDescent="0.3">
      <c r="A85" s="11">
        <v>45114</v>
      </c>
      <c r="B85" s="10" t="s">
        <v>43</v>
      </c>
      <c r="C85" s="7" t="s">
        <v>13</v>
      </c>
      <c r="D85" s="6" t="s">
        <v>189</v>
      </c>
      <c r="E85" s="5" t="s">
        <v>190</v>
      </c>
      <c r="F85" s="4">
        <v>19980.919999999998</v>
      </c>
      <c r="G85" s="3"/>
      <c r="H85" s="3">
        <v>20031</v>
      </c>
      <c r="I85" s="3">
        <v>1001.55</v>
      </c>
      <c r="J85" s="3">
        <v>1051.6300000000001</v>
      </c>
      <c r="K85" s="42"/>
      <c r="L85" s="42"/>
      <c r="M85" s="42"/>
      <c r="N85" s="42"/>
      <c r="O85" s="42"/>
    </row>
    <row r="86" spans="1:15" ht="34.5" customHeight="1" x14ac:dyDescent="0.3">
      <c r="A86" s="11">
        <v>45139</v>
      </c>
      <c r="B86" s="10" t="s">
        <v>43</v>
      </c>
      <c r="C86" s="7" t="s">
        <v>13</v>
      </c>
      <c r="D86" s="6" t="s">
        <v>191</v>
      </c>
      <c r="E86" s="5" t="s">
        <v>192</v>
      </c>
      <c r="F86" s="4">
        <v>14713.12</v>
      </c>
      <c r="G86" s="3"/>
      <c r="H86" s="3">
        <v>14750</v>
      </c>
      <c r="I86" s="3">
        <v>737.5</v>
      </c>
      <c r="J86" s="3">
        <v>774.38</v>
      </c>
      <c r="K86" s="42"/>
      <c r="L86" s="42"/>
      <c r="M86" s="42"/>
      <c r="N86" s="42"/>
      <c r="O86" s="42"/>
    </row>
    <row r="87" spans="1:15" ht="34.5" customHeight="1" x14ac:dyDescent="0.3">
      <c r="A87" s="11">
        <v>45142</v>
      </c>
      <c r="B87" s="10" t="s">
        <v>43</v>
      </c>
      <c r="C87" s="7" t="s">
        <v>13</v>
      </c>
      <c r="D87" s="6" t="s">
        <v>193</v>
      </c>
      <c r="E87" s="5" t="s">
        <v>194</v>
      </c>
      <c r="F87" s="4">
        <v>113253.16</v>
      </c>
      <c r="G87" s="3"/>
      <c r="H87" s="3">
        <v>113537</v>
      </c>
      <c r="I87" s="3">
        <v>5676.85</v>
      </c>
      <c r="J87" s="3">
        <v>5960.69</v>
      </c>
      <c r="K87" s="42"/>
      <c r="L87" s="42"/>
      <c r="M87" s="42"/>
      <c r="N87" s="42"/>
      <c r="O87" s="42"/>
    </row>
    <row r="88" spans="1:15" ht="34.5" customHeight="1" x14ac:dyDescent="0.3">
      <c r="A88" s="11">
        <v>45142</v>
      </c>
      <c r="B88" s="10" t="s">
        <v>43</v>
      </c>
      <c r="C88" s="7" t="s">
        <v>13</v>
      </c>
      <c r="D88" s="6" t="s">
        <v>195</v>
      </c>
      <c r="E88" s="5" t="s">
        <v>196</v>
      </c>
      <c r="F88" s="4">
        <v>31395.82</v>
      </c>
      <c r="G88" s="3"/>
      <c r="H88" s="3">
        <v>31474.5</v>
      </c>
      <c r="I88" s="3">
        <v>1573.73</v>
      </c>
      <c r="J88" s="3">
        <v>1652.41</v>
      </c>
      <c r="K88" s="42"/>
      <c r="L88" s="42"/>
      <c r="M88" s="42"/>
      <c r="N88" s="42"/>
      <c r="O88" s="42"/>
    </row>
    <row r="89" spans="1:15" ht="34.5" customHeight="1" x14ac:dyDescent="0.3">
      <c r="A89" s="11">
        <v>45142</v>
      </c>
      <c r="B89" s="10" t="s">
        <v>43</v>
      </c>
      <c r="C89" s="7" t="s">
        <v>13</v>
      </c>
      <c r="D89" s="6" t="s">
        <v>197</v>
      </c>
      <c r="E89" s="5" t="s">
        <v>198</v>
      </c>
      <c r="F89" s="4">
        <v>19980.919999999998</v>
      </c>
      <c r="G89" s="3"/>
      <c r="H89" s="3">
        <v>20031</v>
      </c>
      <c r="I89" s="3">
        <v>1001.55</v>
      </c>
      <c r="J89" s="3">
        <v>1051.6300000000001</v>
      </c>
      <c r="K89" s="42"/>
      <c r="L89" s="42"/>
      <c r="M89" s="42"/>
      <c r="N89" s="42"/>
      <c r="O89" s="42"/>
    </row>
    <row r="90" spans="1:15" ht="34.5" customHeight="1" x14ac:dyDescent="0.3">
      <c r="A90" s="11">
        <v>45155</v>
      </c>
      <c r="B90" s="10" t="s">
        <v>43</v>
      </c>
      <c r="C90" s="7" t="s">
        <v>13</v>
      </c>
      <c r="D90" s="6" t="s">
        <v>199</v>
      </c>
      <c r="E90" s="5" t="s">
        <v>200</v>
      </c>
      <c r="F90" s="4">
        <v>31395.82</v>
      </c>
      <c r="G90" s="3"/>
      <c r="H90" s="3">
        <v>31474.5</v>
      </c>
      <c r="I90" s="3">
        <v>1573.73</v>
      </c>
      <c r="J90" s="3">
        <v>1652.41</v>
      </c>
      <c r="K90" s="42"/>
      <c r="L90" s="42"/>
      <c r="M90" s="42"/>
      <c r="N90" s="42"/>
      <c r="O90" s="42"/>
    </row>
    <row r="91" spans="1:15" ht="34.5" customHeight="1" x14ac:dyDescent="0.3">
      <c r="A91" s="11">
        <v>45155</v>
      </c>
      <c r="B91" s="10" t="s">
        <v>43</v>
      </c>
      <c r="C91" s="7" t="s">
        <v>13</v>
      </c>
      <c r="D91" s="6" t="s">
        <v>201</v>
      </c>
      <c r="E91" s="5" t="s">
        <v>202</v>
      </c>
      <c r="F91" s="4">
        <v>19980.919999999998</v>
      </c>
      <c r="G91" s="3"/>
      <c r="H91" s="3">
        <v>20031</v>
      </c>
      <c r="I91" s="3">
        <v>1001.55</v>
      </c>
      <c r="J91" s="3">
        <v>1051.6300000000001</v>
      </c>
      <c r="K91" s="42"/>
      <c r="L91" s="42"/>
      <c r="M91" s="42"/>
      <c r="N91" s="42"/>
      <c r="O91" s="42"/>
    </row>
    <row r="92" spans="1:15" ht="34.5" customHeight="1" x14ac:dyDescent="0.3">
      <c r="A92" s="11">
        <v>45155</v>
      </c>
      <c r="B92" s="10" t="s">
        <v>43</v>
      </c>
      <c r="C92" s="7" t="s">
        <v>13</v>
      </c>
      <c r="D92" s="6" t="s">
        <v>203</v>
      </c>
      <c r="E92" s="5" t="s">
        <v>204</v>
      </c>
      <c r="F92" s="4">
        <v>14713.12</v>
      </c>
      <c r="G92" s="3"/>
      <c r="H92" s="3">
        <v>14750</v>
      </c>
      <c r="I92" s="3">
        <v>737.5</v>
      </c>
      <c r="J92" s="3">
        <v>774.38</v>
      </c>
      <c r="K92" s="42"/>
      <c r="L92" s="42"/>
      <c r="M92" s="42"/>
      <c r="N92" s="42"/>
      <c r="O92" s="42"/>
    </row>
    <row r="93" spans="1:15" ht="34.5" customHeight="1" x14ac:dyDescent="0.3">
      <c r="A93" s="11">
        <v>45175</v>
      </c>
      <c r="B93" s="10" t="s">
        <v>43</v>
      </c>
      <c r="C93" s="7" t="s">
        <v>13</v>
      </c>
      <c r="D93" s="6" t="s">
        <v>205</v>
      </c>
      <c r="E93" s="5" t="s">
        <v>206</v>
      </c>
      <c r="F93" s="4">
        <v>84723.839999999997</v>
      </c>
      <c r="G93" s="3"/>
      <c r="H93" s="3">
        <v>84936.18</v>
      </c>
      <c r="I93" s="3">
        <v>4246.8100000000004</v>
      </c>
      <c r="J93" s="3">
        <v>4459.1499999999996</v>
      </c>
      <c r="K93" s="42"/>
      <c r="L93" s="42"/>
      <c r="M93" s="42"/>
      <c r="N93" s="42"/>
      <c r="O93" s="42"/>
    </row>
    <row r="94" spans="1:15" ht="34.5" customHeight="1" x14ac:dyDescent="0.3">
      <c r="A94" s="11">
        <v>45181</v>
      </c>
      <c r="B94" s="10" t="s">
        <v>43</v>
      </c>
      <c r="C94" s="7" t="s">
        <v>13</v>
      </c>
      <c r="D94" s="6" t="s">
        <v>207</v>
      </c>
      <c r="E94" s="5" t="s">
        <v>208</v>
      </c>
      <c r="F94" s="4">
        <v>85013.43</v>
      </c>
      <c r="G94" s="3"/>
      <c r="H94" s="3">
        <v>85226.5</v>
      </c>
      <c r="I94" s="3">
        <v>4261.33</v>
      </c>
      <c r="J94" s="3">
        <v>4474.3900000000003</v>
      </c>
      <c r="K94" s="9">
        <v>0.01</v>
      </c>
      <c r="L94" s="42"/>
      <c r="M94" s="42"/>
      <c r="N94" s="42"/>
      <c r="O94" s="42"/>
    </row>
    <row r="95" spans="1:15" ht="34.5" customHeight="1" x14ac:dyDescent="0.3">
      <c r="A95" s="11">
        <v>45181</v>
      </c>
      <c r="B95" s="10" t="s">
        <v>43</v>
      </c>
      <c r="C95" s="7" t="s">
        <v>13</v>
      </c>
      <c r="D95" s="6" t="s">
        <v>209</v>
      </c>
      <c r="E95" s="5" t="s">
        <v>210</v>
      </c>
      <c r="F95" s="4">
        <v>84868.12</v>
      </c>
      <c r="G95" s="3"/>
      <c r="H95" s="3">
        <v>85080.82</v>
      </c>
      <c r="I95" s="3">
        <v>4254.04</v>
      </c>
      <c r="J95" s="3">
        <v>4466.74</v>
      </c>
      <c r="K95" s="42"/>
      <c r="L95" s="42"/>
      <c r="M95" s="42"/>
      <c r="N95" s="42"/>
      <c r="O95" s="42"/>
    </row>
    <row r="96" spans="1:15" ht="34.5" customHeight="1" x14ac:dyDescent="0.3">
      <c r="A96" s="11">
        <v>45181</v>
      </c>
      <c r="B96" s="10" t="s">
        <v>43</v>
      </c>
      <c r="C96" s="7" t="s">
        <v>13</v>
      </c>
      <c r="D96" s="6" t="s">
        <v>211</v>
      </c>
      <c r="E96" s="5" t="s">
        <v>212</v>
      </c>
      <c r="F96" s="4">
        <v>85013.43</v>
      </c>
      <c r="G96" s="3"/>
      <c r="H96" s="3">
        <v>85226.5</v>
      </c>
      <c r="I96" s="3">
        <v>4261.33</v>
      </c>
      <c r="J96" s="3">
        <v>4474.3900000000003</v>
      </c>
      <c r="K96" s="9">
        <v>0.01</v>
      </c>
      <c r="L96" s="42"/>
      <c r="M96" s="42"/>
      <c r="N96" s="42"/>
      <c r="O96" s="42"/>
    </row>
    <row r="97" spans="1:15" ht="34.5" customHeight="1" x14ac:dyDescent="0.3">
      <c r="A97" s="11">
        <v>45181</v>
      </c>
      <c r="B97" s="10" t="s">
        <v>43</v>
      </c>
      <c r="C97" s="7" t="s">
        <v>13</v>
      </c>
      <c r="D97" s="6" t="s">
        <v>213</v>
      </c>
      <c r="E97" s="5" t="s">
        <v>214</v>
      </c>
      <c r="F97" s="4">
        <v>85013.43</v>
      </c>
      <c r="G97" s="3"/>
      <c r="H97" s="3">
        <v>85226.5</v>
      </c>
      <c r="I97" s="3">
        <v>4261.33</v>
      </c>
      <c r="J97" s="3">
        <v>4474.3900000000003</v>
      </c>
      <c r="K97" s="9">
        <v>0.01</v>
      </c>
      <c r="L97" s="42"/>
      <c r="M97" s="42"/>
      <c r="N97" s="42"/>
      <c r="O97" s="42"/>
    </row>
    <row r="98" spans="1:15" ht="34.5" customHeight="1" x14ac:dyDescent="0.3">
      <c r="A98" s="11">
        <v>45181</v>
      </c>
      <c r="B98" s="10" t="s">
        <v>43</v>
      </c>
      <c r="C98" s="7" t="s">
        <v>13</v>
      </c>
      <c r="D98" s="6" t="s">
        <v>215</v>
      </c>
      <c r="E98" s="5" t="s">
        <v>216</v>
      </c>
      <c r="F98" s="4">
        <v>85013.43</v>
      </c>
      <c r="G98" s="3"/>
      <c r="H98" s="3">
        <v>85226.5</v>
      </c>
      <c r="I98" s="3">
        <v>4261.33</v>
      </c>
      <c r="J98" s="3">
        <v>4474.3900000000003</v>
      </c>
      <c r="K98" s="9">
        <v>0.01</v>
      </c>
      <c r="L98" s="42"/>
      <c r="M98" s="42"/>
      <c r="N98" s="42"/>
      <c r="O98" s="42"/>
    </row>
    <row r="99" spans="1:15" ht="34.5" customHeight="1" x14ac:dyDescent="0.3">
      <c r="A99" s="11">
        <v>45181</v>
      </c>
      <c r="B99" s="10" t="s">
        <v>43</v>
      </c>
      <c r="C99" s="7" t="s">
        <v>13</v>
      </c>
      <c r="D99" s="6" t="s">
        <v>217</v>
      </c>
      <c r="E99" s="5" t="s">
        <v>218</v>
      </c>
      <c r="F99" s="4">
        <v>83797.13</v>
      </c>
      <c r="G99" s="3"/>
      <c r="H99" s="3">
        <v>84007.15</v>
      </c>
      <c r="I99" s="3">
        <v>4200.3599999999997</v>
      </c>
      <c r="J99" s="3">
        <v>4410.38</v>
      </c>
      <c r="K99" s="42"/>
      <c r="L99" s="42"/>
      <c r="M99" s="42"/>
      <c r="N99" s="42"/>
      <c r="O99" s="42"/>
    </row>
    <row r="100" spans="1:15" ht="34.5" customHeight="1" x14ac:dyDescent="0.3">
      <c r="A100" s="11">
        <v>45181</v>
      </c>
      <c r="B100" s="10" t="s">
        <v>43</v>
      </c>
      <c r="C100" s="7" t="s">
        <v>13</v>
      </c>
      <c r="D100" s="6" t="s">
        <v>219</v>
      </c>
      <c r="E100" s="5" t="s">
        <v>220</v>
      </c>
      <c r="F100" s="4">
        <v>85013.43</v>
      </c>
      <c r="G100" s="3"/>
      <c r="H100" s="3">
        <v>85226.5</v>
      </c>
      <c r="I100" s="3">
        <v>4261.33</v>
      </c>
      <c r="J100" s="3">
        <v>4474.3900000000003</v>
      </c>
      <c r="K100" s="9">
        <v>0.01</v>
      </c>
      <c r="L100" s="42"/>
      <c r="M100" s="42"/>
      <c r="N100" s="42"/>
      <c r="O100" s="42"/>
    </row>
    <row r="101" spans="1:15" ht="34.5" customHeight="1" x14ac:dyDescent="0.3">
      <c r="A101" s="11">
        <v>45183</v>
      </c>
      <c r="B101" s="10" t="s">
        <v>43</v>
      </c>
      <c r="C101" s="7" t="s">
        <v>13</v>
      </c>
      <c r="D101" s="6" t="s">
        <v>221</v>
      </c>
      <c r="E101" s="5" t="s">
        <v>222</v>
      </c>
      <c r="F101" s="4">
        <v>31395.82</v>
      </c>
      <c r="G101" s="3"/>
      <c r="H101" s="3">
        <v>31474.5</v>
      </c>
      <c r="I101" s="3">
        <v>1573.73</v>
      </c>
      <c r="J101" s="3">
        <v>1652.41</v>
      </c>
      <c r="K101" s="42"/>
      <c r="L101" s="42"/>
      <c r="M101" s="42"/>
      <c r="N101" s="42"/>
      <c r="O101" s="42"/>
    </row>
    <row r="102" spans="1:15" ht="34.5" customHeight="1" x14ac:dyDescent="0.3">
      <c r="A102" s="11">
        <v>45183</v>
      </c>
      <c r="B102" s="10" t="s">
        <v>43</v>
      </c>
      <c r="C102" s="7" t="s">
        <v>13</v>
      </c>
      <c r="D102" s="6" t="s">
        <v>223</v>
      </c>
      <c r="E102" s="5" t="s">
        <v>224</v>
      </c>
      <c r="F102" s="4">
        <v>19980.919999999998</v>
      </c>
      <c r="G102" s="3"/>
      <c r="H102" s="3">
        <v>20031</v>
      </c>
      <c r="I102" s="3">
        <v>1001.55</v>
      </c>
      <c r="J102" s="3">
        <v>1051.6300000000001</v>
      </c>
      <c r="K102" s="42"/>
      <c r="L102" s="42"/>
      <c r="M102" s="42"/>
      <c r="N102" s="42"/>
      <c r="O102" s="42"/>
    </row>
    <row r="103" spans="1:15" ht="34.5" customHeight="1" x14ac:dyDescent="0.3">
      <c r="A103" s="11">
        <v>45225</v>
      </c>
      <c r="B103" s="10" t="s">
        <v>43</v>
      </c>
      <c r="C103" s="7" t="s">
        <v>13</v>
      </c>
      <c r="D103" s="6" t="s">
        <v>225</v>
      </c>
      <c r="E103" s="5" t="s">
        <v>226</v>
      </c>
      <c r="F103" s="4">
        <v>29307.31</v>
      </c>
      <c r="G103" s="3"/>
      <c r="H103" s="3">
        <v>29380.77</v>
      </c>
      <c r="I103" s="3">
        <v>1469.04</v>
      </c>
      <c r="J103" s="3">
        <v>1542.49</v>
      </c>
      <c r="K103" s="9">
        <v>0.01</v>
      </c>
      <c r="L103" s="42"/>
      <c r="M103" s="42"/>
      <c r="N103" s="42"/>
      <c r="O103" s="42"/>
    </row>
    <row r="104" spans="1:15" ht="34.5" customHeight="1" x14ac:dyDescent="0.3">
      <c r="A104" s="11">
        <v>45225</v>
      </c>
      <c r="B104" s="10" t="s">
        <v>43</v>
      </c>
      <c r="C104" s="7" t="s">
        <v>13</v>
      </c>
      <c r="D104" s="6" t="s">
        <v>227</v>
      </c>
      <c r="E104" s="5" t="s">
        <v>228</v>
      </c>
      <c r="F104" s="4">
        <v>19182.919999999998</v>
      </c>
      <c r="G104" s="3"/>
      <c r="H104" s="3">
        <v>19231</v>
      </c>
      <c r="I104" s="3">
        <v>961.55</v>
      </c>
      <c r="J104" s="3">
        <v>1009.63</v>
      </c>
      <c r="K104" s="42"/>
      <c r="L104" s="42"/>
      <c r="M104" s="42"/>
      <c r="N104" s="42"/>
      <c r="O104" s="42"/>
    </row>
    <row r="105" spans="1:15" ht="34.5" customHeight="1" x14ac:dyDescent="0.3">
      <c r="A105" s="11">
        <v>45229</v>
      </c>
      <c r="B105" s="10" t="s">
        <v>43</v>
      </c>
      <c r="C105" s="7" t="s">
        <v>13</v>
      </c>
      <c r="D105" s="6" t="s">
        <v>229</v>
      </c>
      <c r="E105" s="5" t="s">
        <v>230</v>
      </c>
      <c r="F105" s="4">
        <v>113253.16</v>
      </c>
      <c r="G105" s="3"/>
      <c r="H105" s="3">
        <v>113537</v>
      </c>
      <c r="I105" s="3">
        <v>5676.85</v>
      </c>
      <c r="J105" s="3">
        <v>5960.69</v>
      </c>
      <c r="K105" s="42"/>
      <c r="L105" s="42"/>
      <c r="M105" s="42"/>
      <c r="N105" s="42"/>
      <c r="O105" s="42"/>
    </row>
    <row r="106" spans="1:15" ht="34.5" customHeight="1" x14ac:dyDescent="0.3">
      <c r="A106" s="11">
        <v>45229</v>
      </c>
      <c r="B106" s="10" t="s">
        <v>43</v>
      </c>
      <c r="C106" s="7" t="s">
        <v>13</v>
      </c>
      <c r="D106" s="6" t="s">
        <v>231</v>
      </c>
      <c r="E106" s="5" t="s">
        <v>232</v>
      </c>
      <c r="F106" s="4">
        <v>106306.07</v>
      </c>
      <c r="G106" s="3"/>
      <c r="H106" s="3">
        <v>106572.5</v>
      </c>
      <c r="I106" s="3">
        <v>5328.63</v>
      </c>
      <c r="J106" s="3">
        <v>5595.06</v>
      </c>
      <c r="K106" s="42"/>
      <c r="L106" s="42"/>
      <c r="M106" s="42"/>
      <c r="N106" s="42"/>
      <c r="O106" s="42"/>
    </row>
    <row r="107" spans="1:15" ht="34.5" customHeight="1" x14ac:dyDescent="0.3">
      <c r="A107" s="11">
        <v>45229</v>
      </c>
      <c r="B107" s="10" t="s">
        <v>43</v>
      </c>
      <c r="C107" s="7" t="s">
        <v>13</v>
      </c>
      <c r="D107" s="6" t="s">
        <v>233</v>
      </c>
      <c r="E107" s="5" t="s">
        <v>234</v>
      </c>
      <c r="F107" s="4">
        <v>106306.07</v>
      </c>
      <c r="G107" s="3"/>
      <c r="H107" s="3">
        <v>106572.5</v>
      </c>
      <c r="I107" s="3">
        <v>5328.63</v>
      </c>
      <c r="J107" s="3">
        <v>5595.06</v>
      </c>
      <c r="K107" s="42"/>
      <c r="L107" s="42"/>
      <c r="M107" s="42"/>
      <c r="N107" s="42"/>
      <c r="O107" s="42"/>
    </row>
    <row r="108" spans="1:15" ht="34.5" customHeight="1" x14ac:dyDescent="0.3">
      <c r="A108" s="11">
        <v>45267</v>
      </c>
      <c r="B108" s="10" t="s">
        <v>43</v>
      </c>
      <c r="C108" s="7" t="s">
        <v>13</v>
      </c>
      <c r="D108" s="6" t="s">
        <v>235</v>
      </c>
      <c r="E108" s="5" t="s">
        <v>236</v>
      </c>
      <c r="F108" s="4">
        <v>106306.07</v>
      </c>
      <c r="G108" s="3"/>
      <c r="H108" s="3">
        <v>106572.5</v>
      </c>
      <c r="I108" s="3">
        <v>5328.63</v>
      </c>
      <c r="J108" s="3">
        <v>5595.06</v>
      </c>
      <c r="K108" s="42"/>
      <c r="L108" s="42"/>
      <c r="M108" s="42"/>
      <c r="N108" s="42"/>
      <c r="O108" s="42"/>
    </row>
    <row r="109" spans="1:15" ht="34.5" customHeight="1" x14ac:dyDescent="0.3">
      <c r="A109" s="11">
        <v>45272</v>
      </c>
      <c r="B109" s="10" t="s">
        <v>43</v>
      </c>
      <c r="C109" s="7" t="s">
        <v>13</v>
      </c>
      <c r="D109" s="6" t="s">
        <v>237</v>
      </c>
      <c r="E109" s="5" t="s">
        <v>238</v>
      </c>
      <c r="F109" s="4">
        <v>106306.07</v>
      </c>
      <c r="G109" s="3"/>
      <c r="H109" s="3">
        <v>106572.5</v>
      </c>
      <c r="I109" s="3">
        <v>5328.63</v>
      </c>
      <c r="J109" s="3">
        <v>5595.06</v>
      </c>
      <c r="K109" s="42"/>
      <c r="L109" s="42"/>
      <c r="M109" s="42"/>
      <c r="N109" s="42"/>
      <c r="O109" s="42"/>
    </row>
    <row r="110" spans="1:15" ht="34.5" customHeight="1" x14ac:dyDescent="0.3">
      <c r="A110" s="11">
        <v>45277</v>
      </c>
      <c r="B110" s="10" t="s">
        <v>43</v>
      </c>
      <c r="C110" s="7" t="s">
        <v>13</v>
      </c>
      <c r="D110" s="6" t="s">
        <v>239</v>
      </c>
      <c r="E110" s="5" t="s">
        <v>240</v>
      </c>
      <c r="F110" s="4">
        <v>31395.81</v>
      </c>
      <c r="G110" s="3"/>
      <c r="H110" s="3">
        <v>31474.5</v>
      </c>
      <c r="I110" s="3">
        <v>1573.73</v>
      </c>
      <c r="J110" s="3">
        <v>1652.41</v>
      </c>
      <c r="K110" s="9">
        <v>0.01</v>
      </c>
      <c r="L110" s="42"/>
      <c r="M110" s="42"/>
      <c r="N110" s="42"/>
      <c r="O110" s="42"/>
    </row>
    <row r="111" spans="1:15" ht="34.5" customHeight="1" x14ac:dyDescent="0.3">
      <c r="A111" s="11">
        <v>45277</v>
      </c>
      <c r="B111" s="10" t="s">
        <v>43</v>
      </c>
      <c r="C111" s="7" t="s">
        <v>13</v>
      </c>
      <c r="D111" s="6" t="s">
        <v>241</v>
      </c>
      <c r="E111" s="5" t="s">
        <v>242</v>
      </c>
      <c r="F111" s="4">
        <v>19980.919999999998</v>
      </c>
      <c r="G111" s="3"/>
      <c r="H111" s="3">
        <v>20031</v>
      </c>
      <c r="I111" s="3">
        <v>1001.55</v>
      </c>
      <c r="J111" s="3">
        <v>1051.6300000000001</v>
      </c>
      <c r="K111" s="42"/>
      <c r="L111" s="42"/>
      <c r="M111" s="42"/>
      <c r="N111" s="42"/>
      <c r="O111" s="42"/>
    </row>
    <row r="112" spans="1:15" ht="34.5" customHeight="1" x14ac:dyDescent="0.3">
      <c r="A112" s="11">
        <v>45279</v>
      </c>
      <c r="B112" s="10" t="s">
        <v>43</v>
      </c>
      <c r="C112" s="7" t="s">
        <v>13</v>
      </c>
      <c r="D112" s="6" t="s">
        <v>243</v>
      </c>
      <c r="E112" s="5" t="s">
        <v>244</v>
      </c>
      <c r="F112" s="4">
        <v>20037.45</v>
      </c>
      <c r="G112" s="3"/>
      <c r="H112" s="3">
        <v>20087.669999999998</v>
      </c>
      <c r="I112" s="3">
        <v>1004.38</v>
      </c>
      <c r="J112" s="3">
        <v>1054.5999999999999</v>
      </c>
      <c r="K112" s="42"/>
      <c r="L112" s="42"/>
      <c r="M112" s="42"/>
      <c r="N112" s="42"/>
      <c r="O112" s="42"/>
    </row>
    <row r="113" spans="1:15" ht="34.5" customHeight="1" x14ac:dyDescent="0.3">
      <c r="A113" s="11">
        <v>45279</v>
      </c>
      <c r="B113" s="10" t="s">
        <v>43</v>
      </c>
      <c r="C113" s="7" t="s">
        <v>13</v>
      </c>
      <c r="D113" s="6" t="s">
        <v>245</v>
      </c>
      <c r="E113" s="5" t="s">
        <v>246</v>
      </c>
      <c r="F113" s="4">
        <v>31395.81</v>
      </c>
      <c r="G113" s="3"/>
      <c r="H113" s="3">
        <v>31474.5</v>
      </c>
      <c r="I113" s="3">
        <v>1573.73</v>
      </c>
      <c r="J113" s="3">
        <v>1652.41</v>
      </c>
      <c r="K113" s="9">
        <v>0.01</v>
      </c>
      <c r="L113" s="42"/>
      <c r="M113" s="42"/>
      <c r="N113" s="42"/>
      <c r="O113" s="42"/>
    </row>
    <row r="114" spans="1:15" x14ac:dyDescent="0.3">
      <c r="A114" s="9"/>
      <c r="B114" s="8" t="s">
        <v>10</v>
      </c>
      <c r="C114" s="7" t="s">
        <v>9</v>
      </c>
      <c r="D114" s="6" t="s">
        <v>9</v>
      </c>
      <c r="E114" s="5" t="s">
        <v>9</v>
      </c>
      <c r="F114" s="4">
        <v>5812350.7199999997</v>
      </c>
      <c r="G114" s="3"/>
      <c r="H114" s="3">
        <f>SUM(H16:H113)</f>
        <v>5826918.0299999993</v>
      </c>
      <c r="I114" s="3">
        <f>SUM(I16:I113)</f>
        <v>291346.05999999982</v>
      </c>
      <c r="J114" s="3">
        <f>SUM(J16:J113)</f>
        <v>305913.29000000004</v>
      </c>
      <c r="K114" s="9">
        <v>0.08</v>
      </c>
      <c r="L114" s="42"/>
      <c r="M114" s="42"/>
      <c r="N114" s="42"/>
      <c r="O114" s="42"/>
    </row>
  </sheetData>
  <mergeCells count="13">
    <mergeCell ref="A14:C14"/>
    <mergeCell ref="A8:C8"/>
    <mergeCell ref="A9:C9"/>
    <mergeCell ref="A10:C10"/>
    <mergeCell ref="A11:C11"/>
    <mergeCell ref="A12:C12"/>
    <mergeCell ref="A13:C13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161B-B104-464D-BC0D-76B46EE31BC2}">
  <sheetPr codeName="Sheet4"/>
  <dimension ref="A1:K35"/>
  <sheetViews>
    <sheetView workbookViewId="0">
      <selection activeCell="G35" sqref="G35"/>
    </sheetView>
  </sheetViews>
  <sheetFormatPr defaultRowHeight="14.4" x14ac:dyDescent="0.3"/>
  <cols>
    <col min="1" max="1" width="21.109375" bestFit="1" customWidth="1"/>
    <col min="2" max="2" width="39.33203125" bestFit="1" customWidth="1"/>
    <col min="3" max="3" width="7.44140625" bestFit="1" customWidth="1"/>
    <col min="4" max="4" width="12.88671875" bestFit="1" customWidth="1"/>
    <col min="6" max="7" width="11.6640625" bestFit="1" customWidth="1"/>
    <col min="8" max="8" width="10.6640625" bestFit="1" customWidth="1"/>
    <col min="9" max="9" width="14.109375" bestFit="1" customWidth="1"/>
    <col min="10" max="10" width="15.5546875" bestFit="1" customWidth="1"/>
    <col min="11" max="11" width="9" bestFit="1" customWidth="1"/>
  </cols>
  <sheetData>
    <row r="1" spans="1:11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</row>
    <row r="2" spans="1:11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</row>
    <row r="3" spans="1:11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</row>
    <row r="4" spans="1:11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</row>
    <row r="5" spans="1:11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</row>
    <row r="6" spans="1:11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5.6" x14ac:dyDescent="0.3">
      <c r="A7" s="115" t="s">
        <v>289</v>
      </c>
      <c r="B7" s="115"/>
      <c r="C7" s="115"/>
      <c r="D7" s="14"/>
      <c r="E7" s="14"/>
      <c r="F7" s="14"/>
      <c r="G7" s="14"/>
      <c r="H7" s="14"/>
      <c r="I7" s="14"/>
      <c r="J7" s="14"/>
      <c r="K7" s="14"/>
    </row>
    <row r="8" spans="1:11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</row>
    <row r="9" spans="1:11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</row>
    <row r="10" spans="1:11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</row>
    <row r="11" spans="1:11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</row>
    <row r="12" spans="1:11" x14ac:dyDescent="0.3">
      <c r="A12" s="116" t="s">
        <v>30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</row>
    <row r="13" spans="1:11" ht="34.5" customHeight="1" x14ac:dyDescent="0.3">
      <c r="A13" s="12" t="s">
        <v>29</v>
      </c>
      <c r="B13" s="13" t="s">
        <v>28</v>
      </c>
      <c r="C13" s="12" t="s">
        <v>27</v>
      </c>
      <c r="D13" s="12" t="s">
        <v>26</v>
      </c>
      <c r="E13" s="12" t="s">
        <v>25</v>
      </c>
      <c r="F13" s="12" t="s">
        <v>24</v>
      </c>
      <c r="G13" s="12" t="s">
        <v>23</v>
      </c>
      <c r="H13" s="12" t="s">
        <v>5</v>
      </c>
      <c r="I13" s="12" t="s">
        <v>22</v>
      </c>
      <c r="J13" s="12" t="s">
        <v>288</v>
      </c>
      <c r="K13" s="12" t="s">
        <v>48</v>
      </c>
    </row>
    <row r="14" spans="1:11" ht="34.5" customHeight="1" x14ac:dyDescent="0.3">
      <c r="A14" s="11">
        <v>44747</v>
      </c>
      <c r="B14" s="10" t="s">
        <v>249</v>
      </c>
      <c r="C14" s="7" t="s">
        <v>13</v>
      </c>
      <c r="D14" s="6" t="s">
        <v>287</v>
      </c>
      <c r="E14" s="5" t="s">
        <v>286</v>
      </c>
      <c r="F14" s="44">
        <v>18507.11</v>
      </c>
      <c r="G14" s="43">
        <v>17625.82</v>
      </c>
      <c r="H14" s="43">
        <v>881.29</v>
      </c>
      <c r="I14" s="43"/>
      <c r="J14" s="43"/>
      <c r="K14" s="43"/>
    </row>
    <row r="15" spans="1:11" ht="34.5" customHeight="1" x14ac:dyDescent="0.3">
      <c r="A15" s="11">
        <v>44747</v>
      </c>
      <c r="B15" s="10" t="s">
        <v>249</v>
      </c>
      <c r="C15" s="7" t="s">
        <v>13</v>
      </c>
      <c r="D15" s="6" t="s">
        <v>285</v>
      </c>
      <c r="E15" s="5" t="s">
        <v>284</v>
      </c>
      <c r="F15" s="44">
        <v>18507.11</v>
      </c>
      <c r="G15" s="43">
        <v>17625.82</v>
      </c>
      <c r="H15" s="43">
        <v>881.29</v>
      </c>
      <c r="I15" s="43"/>
      <c r="J15" s="43"/>
      <c r="K15" s="43"/>
    </row>
    <row r="16" spans="1:11" ht="34.5" customHeight="1" x14ac:dyDescent="0.3">
      <c r="A16" s="11">
        <v>44778</v>
      </c>
      <c r="B16" s="10" t="s">
        <v>249</v>
      </c>
      <c r="C16" s="7" t="s">
        <v>13</v>
      </c>
      <c r="D16" s="6" t="s">
        <v>283</v>
      </c>
      <c r="E16" s="5" t="s">
        <v>282</v>
      </c>
      <c r="F16" s="44">
        <v>18507.11</v>
      </c>
      <c r="G16" s="43">
        <v>17625.82</v>
      </c>
      <c r="H16" s="43">
        <v>881.29</v>
      </c>
      <c r="I16" s="43"/>
      <c r="J16" s="43"/>
      <c r="K16" s="43"/>
    </row>
    <row r="17" spans="1:11" ht="34.5" customHeight="1" x14ac:dyDescent="0.3">
      <c r="A17" s="11">
        <v>44887</v>
      </c>
      <c r="B17" s="10" t="s">
        <v>249</v>
      </c>
      <c r="C17" s="7" t="s">
        <v>13</v>
      </c>
      <c r="D17" s="6" t="s">
        <v>281</v>
      </c>
      <c r="E17" s="5" t="s">
        <v>280</v>
      </c>
      <c r="F17" s="44">
        <v>55521.33</v>
      </c>
      <c r="G17" s="43">
        <v>52877.46</v>
      </c>
      <c r="H17" s="43">
        <v>2643.87</v>
      </c>
      <c r="I17" s="43"/>
      <c r="J17" s="43"/>
      <c r="K17" s="43"/>
    </row>
    <row r="18" spans="1:11" ht="34.5" customHeight="1" x14ac:dyDescent="0.3">
      <c r="A18" s="11">
        <v>44908</v>
      </c>
      <c r="B18" s="10" t="s">
        <v>249</v>
      </c>
      <c r="C18" s="7" t="s">
        <v>13</v>
      </c>
      <c r="D18" s="6" t="s">
        <v>279</v>
      </c>
      <c r="E18" s="5" t="s">
        <v>278</v>
      </c>
      <c r="F18" s="44">
        <v>18507.11</v>
      </c>
      <c r="G18" s="43">
        <v>17625.82</v>
      </c>
      <c r="H18" s="43">
        <v>881.29</v>
      </c>
      <c r="I18" s="43"/>
      <c r="J18" s="43"/>
      <c r="K18" s="43"/>
    </row>
    <row r="19" spans="1:11" ht="34.5" customHeight="1" x14ac:dyDescent="0.3">
      <c r="A19" s="11">
        <v>44929</v>
      </c>
      <c r="B19" s="10" t="s">
        <v>249</v>
      </c>
      <c r="C19" s="7" t="s">
        <v>13</v>
      </c>
      <c r="D19" s="6" t="s">
        <v>277</v>
      </c>
      <c r="E19" s="5" t="s">
        <v>275</v>
      </c>
      <c r="F19" s="44">
        <v>18507.11</v>
      </c>
      <c r="G19" s="43">
        <v>17625.82</v>
      </c>
      <c r="H19" s="43">
        <v>881.29</v>
      </c>
      <c r="I19" s="43"/>
      <c r="J19" s="43"/>
      <c r="K19" s="43"/>
    </row>
    <row r="20" spans="1:11" ht="34.5" customHeight="1" x14ac:dyDescent="0.3">
      <c r="A20" s="11">
        <v>44958</v>
      </c>
      <c r="B20" s="10" t="s">
        <v>249</v>
      </c>
      <c r="C20" s="7" t="s">
        <v>20</v>
      </c>
      <c r="D20" s="6" t="s">
        <v>276</v>
      </c>
      <c r="E20" s="5" t="s">
        <v>275</v>
      </c>
      <c r="F20" s="44">
        <v>18507.11</v>
      </c>
      <c r="G20" s="43"/>
      <c r="H20" s="43"/>
      <c r="I20" s="43">
        <v>18507.11</v>
      </c>
      <c r="J20" s="43"/>
      <c r="K20" s="43"/>
    </row>
    <row r="21" spans="1:11" ht="34.5" customHeight="1" x14ac:dyDescent="0.3">
      <c r="A21" s="11">
        <v>44964</v>
      </c>
      <c r="B21" s="10" t="s">
        <v>249</v>
      </c>
      <c r="C21" s="7" t="s">
        <v>13</v>
      </c>
      <c r="D21" s="6" t="s">
        <v>274</v>
      </c>
      <c r="E21" s="5" t="s">
        <v>273</v>
      </c>
      <c r="F21" s="44">
        <v>18507.11</v>
      </c>
      <c r="G21" s="43">
        <v>17625.82</v>
      </c>
      <c r="H21" s="43">
        <v>881.29</v>
      </c>
      <c r="I21" s="43"/>
      <c r="J21" s="43"/>
      <c r="K21" s="43"/>
    </row>
    <row r="22" spans="1:11" ht="34.5" customHeight="1" x14ac:dyDescent="0.3">
      <c r="A22" s="11">
        <v>44992</v>
      </c>
      <c r="B22" s="10" t="s">
        <v>249</v>
      </c>
      <c r="C22" s="7" t="s">
        <v>13</v>
      </c>
      <c r="D22" s="6" t="s">
        <v>272</v>
      </c>
      <c r="E22" s="5" t="s">
        <v>271</v>
      </c>
      <c r="F22" s="44">
        <v>18507.11</v>
      </c>
      <c r="G22" s="43">
        <v>17625.82</v>
      </c>
      <c r="H22" s="43">
        <v>881.29</v>
      </c>
      <c r="I22" s="43"/>
      <c r="J22" s="43"/>
      <c r="K22" s="43"/>
    </row>
    <row r="23" spans="1:11" ht="34.5" customHeight="1" x14ac:dyDescent="0.3">
      <c r="A23" s="11">
        <v>44994</v>
      </c>
      <c r="B23" s="10" t="s">
        <v>249</v>
      </c>
      <c r="C23" s="7" t="s">
        <v>20</v>
      </c>
      <c r="D23" s="6" t="s">
        <v>270</v>
      </c>
      <c r="E23" s="5" t="s">
        <v>266</v>
      </c>
      <c r="F23" s="44">
        <v>18507.11</v>
      </c>
      <c r="G23" s="43"/>
      <c r="H23" s="43"/>
      <c r="I23" s="43">
        <v>18507.11</v>
      </c>
      <c r="J23" s="43"/>
      <c r="K23" s="43"/>
    </row>
    <row r="24" spans="1:11" ht="34.5" customHeight="1" x14ac:dyDescent="0.3">
      <c r="A24" s="11">
        <v>45015</v>
      </c>
      <c r="B24" s="10" t="s">
        <v>249</v>
      </c>
      <c r="C24" s="7" t="s">
        <v>13</v>
      </c>
      <c r="D24" s="6" t="s">
        <v>269</v>
      </c>
      <c r="E24" s="5" t="s">
        <v>268</v>
      </c>
      <c r="F24" s="44">
        <v>50566.43</v>
      </c>
      <c r="G24" s="43">
        <v>48158.5</v>
      </c>
      <c r="H24" s="43">
        <v>2407.9299999999998</v>
      </c>
      <c r="I24" s="43"/>
      <c r="J24" s="43"/>
      <c r="K24" s="43"/>
    </row>
    <row r="25" spans="1:11" ht="34.5" customHeight="1" x14ac:dyDescent="0.3">
      <c r="A25" s="11">
        <v>45016</v>
      </c>
      <c r="B25" s="10" t="s">
        <v>249</v>
      </c>
      <c r="C25" s="7" t="s">
        <v>20</v>
      </c>
      <c r="D25" s="6" t="s">
        <v>267</v>
      </c>
      <c r="E25" s="5" t="s">
        <v>266</v>
      </c>
      <c r="F25" s="44">
        <v>18507.11</v>
      </c>
      <c r="G25" s="43"/>
      <c r="H25" s="43"/>
      <c r="I25" s="43">
        <v>18507.11</v>
      </c>
      <c r="J25" s="43"/>
      <c r="K25" s="43"/>
    </row>
    <row r="26" spans="1:11" ht="34.5" customHeight="1" x14ac:dyDescent="0.3">
      <c r="A26" s="11">
        <v>45023</v>
      </c>
      <c r="B26" s="10" t="s">
        <v>249</v>
      </c>
      <c r="C26" s="7" t="s">
        <v>13</v>
      </c>
      <c r="D26" s="6" t="s">
        <v>265</v>
      </c>
      <c r="E26" s="5" t="s">
        <v>264</v>
      </c>
      <c r="F26" s="44">
        <v>18507.11</v>
      </c>
      <c r="G26" s="43">
        <v>17625.82</v>
      </c>
      <c r="H26" s="43">
        <v>881.29</v>
      </c>
      <c r="I26" s="43"/>
      <c r="J26" s="43"/>
      <c r="K26" s="43"/>
    </row>
    <row r="27" spans="1:11" ht="34.5" customHeight="1" x14ac:dyDescent="0.3">
      <c r="A27" s="11">
        <v>45050</v>
      </c>
      <c r="B27" s="10" t="s">
        <v>249</v>
      </c>
      <c r="C27" s="7" t="s">
        <v>13</v>
      </c>
      <c r="D27" s="6" t="s">
        <v>263</v>
      </c>
      <c r="E27" s="5" t="s">
        <v>262</v>
      </c>
      <c r="F27" s="44">
        <v>18507.11</v>
      </c>
      <c r="G27" s="43">
        <v>17625.82</v>
      </c>
      <c r="H27" s="43">
        <v>881.29</v>
      </c>
      <c r="I27" s="43"/>
      <c r="J27" s="43"/>
      <c r="K27" s="43"/>
    </row>
    <row r="28" spans="1:11" ht="34.5" customHeight="1" x14ac:dyDescent="0.3">
      <c r="A28" s="11">
        <v>45120</v>
      </c>
      <c r="B28" s="10" t="s">
        <v>249</v>
      </c>
      <c r="C28" s="7" t="s">
        <v>13</v>
      </c>
      <c r="D28" s="6" t="s">
        <v>261</v>
      </c>
      <c r="E28" s="5" t="s">
        <v>260</v>
      </c>
      <c r="F28" s="44">
        <v>18507.11</v>
      </c>
      <c r="G28" s="43">
        <v>17625.82</v>
      </c>
      <c r="H28" s="43">
        <v>881.29</v>
      </c>
      <c r="I28" s="43"/>
      <c r="J28" s="43"/>
      <c r="K28" s="43"/>
    </row>
    <row r="29" spans="1:11" ht="34.5" customHeight="1" x14ac:dyDescent="0.3">
      <c r="A29" s="11">
        <v>45125</v>
      </c>
      <c r="B29" s="10" t="s">
        <v>249</v>
      </c>
      <c r="C29" s="7" t="s">
        <v>13</v>
      </c>
      <c r="D29" s="6" t="s">
        <v>259</v>
      </c>
      <c r="E29" s="5" t="s">
        <v>258</v>
      </c>
      <c r="F29" s="44">
        <v>18507.11</v>
      </c>
      <c r="G29" s="43">
        <v>17625.82</v>
      </c>
      <c r="H29" s="43">
        <v>881.29</v>
      </c>
      <c r="I29" s="43"/>
      <c r="J29" s="43"/>
      <c r="K29" s="43"/>
    </row>
    <row r="30" spans="1:11" ht="34.5" customHeight="1" x14ac:dyDescent="0.3">
      <c r="A30" s="11">
        <v>45142</v>
      </c>
      <c r="B30" s="10" t="s">
        <v>249</v>
      </c>
      <c r="C30" s="7" t="s">
        <v>13</v>
      </c>
      <c r="D30" s="6" t="s">
        <v>257</v>
      </c>
      <c r="E30" s="5" t="s">
        <v>256</v>
      </c>
      <c r="F30" s="44">
        <v>18507.11</v>
      </c>
      <c r="G30" s="43">
        <v>17625.82</v>
      </c>
      <c r="H30" s="43">
        <v>881.29</v>
      </c>
      <c r="I30" s="43"/>
      <c r="J30" s="43"/>
      <c r="K30" s="43"/>
    </row>
    <row r="31" spans="1:11" ht="34.5" customHeight="1" x14ac:dyDescent="0.3">
      <c r="A31" s="11">
        <v>45196</v>
      </c>
      <c r="B31" s="10" t="s">
        <v>249</v>
      </c>
      <c r="C31" s="7" t="s">
        <v>13</v>
      </c>
      <c r="D31" s="6" t="s">
        <v>255</v>
      </c>
      <c r="E31" s="5" t="s">
        <v>254</v>
      </c>
      <c r="F31" s="44">
        <v>18507.11</v>
      </c>
      <c r="G31" s="43">
        <v>17625.82</v>
      </c>
      <c r="H31" s="43">
        <v>881.29</v>
      </c>
      <c r="I31" s="43"/>
      <c r="J31" s="43"/>
      <c r="K31" s="43"/>
    </row>
    <row r="32" spans="1:11" ht="34.5" customHeight="1" x14ac:dyDescent="0.3">
      <c r="A32" s="11">
        <v>45211</v>
      </c>
      <c r="B32" s="10" t="s">
        <v>249</v>
      </c>
      <c r="C32" s="7" t="s">
        <v>13</v>
      </c>
      <c r="D32" s="6" t="s">
        <v>253</v>
      </c>
      <c r="E32" s="5" t="s">
        <v>252</v>
      </c>
      <c r="F32" s="44">
        <v>18507.11</v>
      </c>
      <c r="G32" s="43">
        <v>17625.82</v>
      </c>
      <c r="H32" s="43">
        <v>881.29</v>
      </c>
      <c r="I32" s="43"/>
      <c r="J32" s="43"/>
      <c r="K32" s="43"/>
    </row>
    <row r="33" spans="1:11" ht="34.5" customHeight="1" x14ac:dyDescent="0.3">
      <c r="A33" s="11">
        <v>45254</v>
      </c>
      <c r="B33" s="10" t="s">
        <v>249</v>
      </c>
      <c r="C33" s="7" t="s">
        <v>13</v>
      </c>
      <c r="D33" s="6" t="s">
        <v>251</v>
      </c>
      <c r="E33" s="5" t="s">
        <v>250</v>
      </c>
      <c r="F33" s="44">
        <v>18507.11</v>
      </c>
      <c r="G33" s="43">
        <v>17625.82</v>
      </c>
      <c r="H33" s="43">
        <v>881.29</v>
      </c>
      <c r="I33" s="43"/>
      <c r="J33" s="43"/>
      <c r="K33" s="43"/>
    </row>
    <row r="34" spans="1:11" ht="34.5" customHeight="1" x14ac:dyDescent="0.3">
      <c r="A34" s="11">
        <v>45272</v>
      </c>
      <c r="B34" s="10" t="s">
        <v>249</v>
      </c>
      <c r="C34" s="7" t="s">
        <v>13</v>
      </c>
      <c r="D34" s="6" t="s">
        <v>248</v>
      </c>
      <c r="E34" s="5" t="s">
        <v>247</v>
      </c>
      <c r="F34" s="44">
        <v>18507.11</v>
      </c>
      <c r="G34" s="43">
        <v>17625.82</v>
      </c>
      <c r="H34" s="43">
        <v>881.29</v>
      </c>
      <c r="I34" s="43"/>
      <c r="J34" s="43"/>
      <c r="K34" s="43"/>
    </row>
    <row r="35" spans="1:11" x14ac:dyDescent="0.3">
      <c r="A35" s="9"/>
      <c r="B35" s="8" t="s">
        <v>10</v>
      </c>
      <c r="C35" s="7" t="s">
        <v>9</v>
      </c>
      <c r="D35" s="6" t="s">
        <v>9</v>
      </c>
      <c r="E35" s="5" t="s">
        <v>9</v>
      </c>
      <c r="F35" s="44">
        <v>346680.19</v>
      </c>
      <c r="G35" s="43">
        <v>383049.08</v>
      </c>
      <c r="H35" s="43">
        <v>19152.439999999999</v>
      </c>
      <c r="I35" s="43">
        <v>55521.33</v>
      </c>
      <c r="J35" s="42"/>
      <c r="K35" s="42"/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BC7F-01A6-4B88-98A1-2E6521EDA704}">
  <sheetPr codeName="Sheet5"/>
  <dimension ref="A1:J19"/>
  <sheetViews>
    <sheetView topLeftCell="A10" workbookViewId="0">
      <selection activeCell="B33" sqref="B33"/>
    </sheetView>
  </sheetViews>
  <sheetFormatPr defaultRowHeight="14.4" x14ac:dyDescent="0.3"/>
  <cols>
    <col min="1" max="1" width="21.109375" bestFit="1" customWidth="1"/>
    <col min="2" max="2" width="34.5546875" bestFit="1" customWidth="1"/>
    <col min="3" max="3" width="7.44140625" bestFit="1" customWidth="1"/>
    <col min="4" max="4" width="12.88671875" bestFit="1" customWidth="1"/>
    <col min="5" max="5" width="22.88671875" bestFit="1" customWidth="1"/>
    <col min="6" max="7" width="12.6640625" bestFit="1" customWidth="1"/>
    <col min="8" max="8" width="12.6640625" customWidth="1"/>
    <col min="9" max="9" width="11.6640625" bestFit="1" customWidth="1"/>
    <col min="10" max="10" width="12.6640625" bestFit="1" customWidth="1"/>
  </cols>
  <sheetData>
    <row r="1" spans="1:10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</row>
    <row r="2" spans="1:10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</row>
    <row r="3" spans="1:10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</row>
    <row r="4" spans="1:10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</row>
    <row r="5" spans="1:10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</row>
    <row r="6" spans="1:10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15.6" x14ac:dyDescent="0.3">
      <c r="A7" s="115" t="s">
        <v>292</v>
      </c>
      <c r="B7" s="115"/>
      <c r="C7" s="115"/>
      <c r="D7" s="14"/>
      <c r="E7" s="14"/>
      <c r="F7" s="14"/>
      <c r="G7" s="14"/>
      <c r="H7" s="14"/>
      <c r="I7" s="14"/>
      <c r="J7" s="14"/>
    </row>
    <row r="8" spans="1:10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</row>
    <row r="9" spans="1:10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</row>
    <row r="10" spans="1:10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</row>
    <row r="11" spans="1:10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</row>
    <row r="12" spans="1:10" x14ac:dyDescent="0.3">
      <c r="A12" s="116" t="s">
        <v>302</v>
      </c>
      <c r="B12" s="116"/>
      <c r="C12" s="116"/>
      <c r="D12" s="14"/>
      <c r="E12" s="14"/>
      <c r="F12" s="14"/>
      <c r="G12" s="14"/>
      <c r="H12" s="14"/>
      <c r="I12" s="14"/>
      <c r="J12" s="14"/>
    </row>
    <row r="13" spans="1:10" s="1" customFormat="1" ht="75.75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301</v>
      </c>
      <c r="I13" s="16" t="s">
        <v>5</v>
      </c>
      <c r="J13" s="16" t="s">
        <v>48</v>
      </c>
    </row>
    <row r="14" spans="1:10" ht="29.25" customHeight="1" x14ac:dyDescent="0.3">
      <c r="A14" s="18">
        <v>45180</v>
      </c>
      <c r="B14" s="19" t="s">
        <v>292</v>
      </c>
      <c r="C14" s="20" t="s">
        <v>13</v>
      </c>
      <c r="D14" s="21" t="s">
        <v>300</v>
      </c>
      <c r="E14" s="22" t="s">
        <v>299</v>
      </c>
      <c r="F14" s="50">
        <v>2526786.7000000002</v>
      </c>
      <c r="G14" s="49">
        <v>2533119.5</v>
      </c>
      <c r="H14" s="49">
        <v>126655.98</v>
      </c>
      <c r="I14" s="49">
        <v>120323.18</v>
      </c>
      <c r="J14" s="49"/>
    </row>
    <row r="15" spans="1:10" ht="29.25" customHeight="1" x14ac:dyDescent="0.3">
      <c r="A15" s="26">
        <v>45212</v>
      </c>
      <c r="B15" s="27" t="s">
        <v>292</v>
      </c>
      <c r="C15" s="28" t="s">
        <v>20</v>
      </c>
      <c r="D15" s="29" t="s">
        <v>298</v>
      </c>
      <c r="E15" s="30" t="s">
        <v>297</v>
      </c>
      <c r="F15" s="48">
        <v>2526786.7000000002</v>
      </c>
      <c r="G15" s="47"/>
      <c r="H15" s="47"/>
      <c r="I15" s="47"/>
      <c r="J15" s="47">
        <v>2526786.7000000002</v>
      </c>
    </row>
    <row r="16" spans="1:10" ht="29.25" customHeight="1" x14ac:dyDescent="0.3">
      <c r="A16" s="26">
        <v>45223</v>
      </c>
      <c r="B16" s="27" t="s">
        <v>292</v>
      </c>
      <c r="C16" s="28" t="s">
        <v>13</v>
      </c>
      <c r="D16" s="29" t="s">
        <v>296</v>
      </c>
      <c r="E16" s="30" t="s">
        <v>295</v>
      </c>
      <c r="F16" s="48">
        <v>501339.01</v>
      </c>
      <c r="G16" s="47">
        <v>502595.5</v>
      </c>
      <c r="H16" s="47">
        <v>25129.78</v>
      </c>
      <c r="I16" s="47">
        <v>23873.29</v>
      </c>
      <c r="J16" s="47"/>
    </row>
    <row r="17" spans="1:10" ht="29.25" customHeight="1" x14ac:dyDescent="0.3">
      <c r="A17" s="26">
        <v>45253</v>
      </c>
      <c r="B17" s="27" t="s">
        <v>292</v>
      </c>
      <c r="C17" s="28" t="s">
        <v>20</v>
      </c>
      <c r="D17" s="29" t="s">
        <v>294</v>
      </c>
      <c r="E17" s="30" t="s">
        <v>293</v>
      </c>
      <c r="F17" s="48">
        <v>501339.01</v>
      </c>
      <c r="G17" s="47"/>
      <c r="H17" s="47"/>
      <c r="I17" s="47"/>
      <c r="J17" s="47">
        <v>501339.01</v>
      </c>
    </row>
    <row r="18" spans="1:10" ht="29.25" customHeight="1" x14ac:dyDescent="0.3">
      <c r="A18" s="26">
        <v>45268</v>
      </c>
      <c r="B18" s="27" t="s">
        <v>292</v>
      </c>
      <c r="C18" s="28" t="s">
        <v>13</v>
      </c>
      <c r="D18" s="29" t="s">
        <v>291</v>
      </c>
      <c r="E18" s="30" t="s">
        <v>290</v>
      </c>
      <c r="F18" s="48">
        <v>210233.1</v>
      </c>
      <c r="G18" s="47">
        <v>210760</v>
      </c>
      <c r="H18" s="47">
        <v>10538</v>
      </c>
      <c r="I18" s="47">
        <v>10011.1</v>
      </c>
      <c r="J18" s="47"/>
    </row>
    <row r="19" spans="1:10" x14ac:dyDescent="0.3">
      <c r="A19" s="40"/>
      <c r="B19" s="34" t="s">
        <v>10</v>
      </c>
      <c r="C19" s="35" t="s">
        <v>9</v>
      </c>
      <c r="D19" s="36" t="s">
        <v>9</v>
      </c>
      <c r="E19" s="37" t="s">
        <v>9</v>
      </c>
      <c r="F19" s="46">
        <v>210233.1</v>
      </c>
      <c r="G19" s="45">
        <v>3246475</v>
      </c>
      <c r="H19" s="45">
        <v>162323.76</v>
      </c>
      <c r="I19" s="45">
        <v>154207.57</v>
      </c>
      <c r="J19" s="45">
        <v>3028125.71</v>
      </c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7C81-B8B5-45A1-B019-177AB23D0EBF}">
  <sheetPr codeName="Sheet6"/>
  <dimension ref="A1:K47"/>
  <sheetViews>
    <sheetView topLeftCell="A10" workbookViewId="0">
      <selection activeCell="E19" sqref="E19"/>
    </sheetView>
  </sheetViews>
  <sheetFormatPr defaultRowHeight="14.4" x14ac:dyDescent="0.3"/>
  <cols>
    <col min="1" max="1" width="21.109375" bestFit="1" customWidth="1"/>
    <col min="2" max="2" width="18.88671875" bestFit="1" customWidth="1"/>
    <col min="3" max="3" width="7.44140625" bestFit="1" customWidth="1"/>
    <col min="4" max="4" width="12.88671875" bestFit="1" customWidth="1"/>
    <col min="5" max="5" width="120.5546875" customWidth="1"/>
    <col min="6" max="7" width="11.6640625" bestFit="1" customWidth="1"/>
    <col min="8" max="10" width="10.6640625" bestFit="1" customWidth="1"/>
    <col min="11" max="11" width="11.6640625" bestFit="1" customWidth="1"/>
  </cols>
  <sheetData>
    <row r="1" spans="1:11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</row>
    <row r="2" spans="1:11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</row>
    <row r="3" spans="1:11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</row>
    <row r="4" spans="1:11" x14ac:dyDescent="0.3">
      <c r="A4" s="117" t="s">
        <v>39</v>
      </c>
      <c r="B4" s="117"/>
      <c r="C4" s="117"/>
      <c r="D4" s="14"/>
      <c r="E4" s="14"/>
      <c r="F4" s="14"/>
      <c r="G4" s="14"/>
      <c r="H4" s="14"/>
      <c r="I4" s="14"/>
      <c r="J4" s="14"/>
      <c r="K4" s="14"/>
    </row>
    <row r="5" spans="1:11" x14ac:dyDescent="0.3">
      <c r="A5" s="15" t="s">
        <v>37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15.6" x14ac:dyDescent="0.3">
      <c r="A6" s="115" t="s">
        <v>305</v>
      </c>
      <c r="B6" s="115"/>
      <c r="C6" s="115"/>
      <c r="D6" s="14"/>
      <c r="E6" s="14"/>
      <c r="F6" s="14"/>
      <c r="G6" s="14"/>
      <c r="H6" s="14"/>
      <c r="I6" s="14"/>
      <c r="J6" s="14"/>
      <c r="K6" s="14"/>
    </row>
    <row r="7" spans="1:11" x14ac:dyDescent="0.3">
      <c r="A7" s="116" t="s">
        <v>36</v>
      </c>
      <c r="B7" s="116"/>
      <c r="C7" s="116"/>
      <c r="D7" s="14"/>
      <c r="E7" s="14"/>
      <c r="F7" s="14"/>
      <c r="G7" s="14"/>
      <c r="H7" s="14"/>
      <c r="I7" s="14"/>
      <c r="J7" s="14"/>
      <c r="K7" s="14"/>
    </row>
    <row r="8" spans="1:11" x14ac:dyDescent="0.3">
      <c r="A8" s="116" t="s">
        <v>9</v>
      </c>
      <c r="B8" s="116"/>
      <c r="C8" s="116"/>
      <c r="D8" s="14"/>
      <c r="E8" s="14"/>
      <c r="F8" s="14"/>
      <c r="G8" s="14"/>
      <c r="H8" s="14"/>
      <c r="I8" s="14"/>
      <c r="J8" s="14"/>
      <c r="K8" s="14"/>
    </row>
    <row r="9" spans="1:11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</row>
    <row r="10" spans="1:11" x14ac:dyDescent="0.3">
      <c r="A10" s="116" t="s">
        <v>323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</row>
    <row r="11" spans="1:11" x14ac:dyDescent="0.3">
      <c r="A11" s="116" t="s">
        <v>510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</row>
    <row r="12" spans="1:11" ht="45.6" x14ac:dyDescent="0.3">
      <c r="A12" s="16" t="s">
        <v>29</v>
      </c>
      <c r="B12" s="17" t="s">
        <v>28</v>
      </c>
      <c r="C12" s="16" t="s">
        <v>27</v>
      </c>
      <c r="D12" s="16" t="s">
        <v>26</v>
      </c>
      <c r="E12" s="16" t="s">
        <v>25</v>
      </c>
      <c r="F12" s="16" t="s">
        <v>24</v>
      </c>
      <c r="G12" s="16" t="s">
        <v>23</v>
      </c>
      <c r="H12" s="16" t="s">
        <v>5</v>
      </c>
      <c r="I12" s="16" t="s">
        <v>322</v>
      </c>
      <c r="J12" s="16" t="s">
        <v>321</v>
      </c>
      <c r="K12" s="16" t="s">
        <v>22</v>
      </c>
    </row>
    <row r="13" spans="1:11" x14ac:dyDescent="0.3">
      <c r="A13" s="18">
        <v>44879</v>
      </c>
      <c r="B13" s="19" t="s">
        <v>305</v>
      </c>
      <c r="C13" s="20" t="s">
        <v>13</v>
      </c>
      <c r="D13" s="21" t="s">
        <v>320</v>
      </c>
      <c r="E13" s="22" t="s">
        <v>319</v>
      </c>
      <c r="F13" s="51">
        <v>58255.68</v>
      </c>
      <c r="G13" s="52">
        <v>55481.599999999999</v>
      </c>
      <c r="H13" s="52">
        <v>2774.08</v>
      </c>
      <c r="I13" s="25"/>
      <c r="J13" s="25"/>
      <c r="K13" s="25"/>
    </row>
    <row r="14" spans="1:11" x14ac:dyDescent="0.3">
      <c r="A14" s="26">
        <v>44879</v>
      </c>
      <c r="B14" s="27" t="s">
        <v>305</v>
      </c>
      <c r="C14" s="28" t="s">
        <v>13</v>
      </c>
      <c r="D14" s="29" t="s">
        <v>513</v>
      </c>
      <c r="E14" s="30" t="s">
        <v>514</v>
      </c>
      <c r="F14" s="53">
        <v>27242.880000000001</v>
      </c>
      <c r="G14" s="54">
        <v>25945.599999999999</v>
      </c>
      <c r="H14" s="54">
        <v>1297.28</v>
      </c>
      <c r="I14" s="33"/>
      <c r="J14" s="33"/>
      <c r="K14" s="33"/>
    </row>
    <row r="15" spans="1:11" x14ac:dyDescent="0.3">
      <c r="A15" s="26">
        <v>44886</v>
      </c>
      <c r="B15" s="27" t="s">
        <v>305</v>
      </c>
      <c r="C15" s="28" t="s">
        <v>13</v>
      </c>
      <c r="D15" s="29" t="s">
        <v>515</v>
      </c>
      <c r="E15" s="30" t="s">
        <v>516</v>
      </c>
      <c r="F15" s="53">
        <v>18900</v>
      </c>
      <c r="G15" s="54">
        <v>18000</v>
      </c>
      <c r="H15" s="54">
        <v>900</v>
      </c>
      <c r="I15" s="33"/>
      <c r="J15" s="33"/>
      <c r="K15" s="33"/>
    </row>
    <row r="16" spans="1:11" x14ac:dyDescent="0.3">
      <c r="A16" s="26">
        <v>44887</v>
      </c>
      <c r="B16" s="27" t="s">
        <v>305</v>
      </c>
      <c r="C16" s="28" t="s">
        <v>13</v>
      </c>
      <c r="D16" s="29" t="s">
        <v>517</v>
      </c>
      <c r="E16" s="30" t="s">
        <v>518</v>
      </c>
      <c r="F16" s="53">
        <v>43941.24</v>
      </c>
      <c r="G16" s="54">
        <v>52311</v>
      </c>
      <c r="H16" s="54">
        <v>2092.44</v>
      </c>
      <c r="I16" s="55">
        <v>10462.200000000001</v>
      </c>
      <c r="J16" s="33"/>
      <c r="K16" s="33"/>
    </row>
    <row r="17" spans="1:11" x14ac:dyDescent="0.3">
      <c r="A17" s="26">
        <v>44887</v>
      </c>
      <c r="B17" s="27" t="s">
        <v>305</v>
      </c>
      <c r="C17" s="28" t="s">
        <v>13</v>
      </c>
      <c r="D17" s="29" t="s">
        <v>318</v>
      </c>
      <c r="E17" s="30" t="s">
        <v>317</v>
      </c>
      <c r="F17" s="53">
        <v>39397.68</v>
      </c>
      <c r="G17" s="54">
        <v>46902</v>
      </c>
      <c r="H17" s="54">
        <v>1876.08</v>
      </c>
      <c r="I17" s="33"/>
      <c r="J17" s="55">
        <v>9380.4</v>
      </c>
      <c r="K17" s="33"/>
    </row>
    <row r="18" spans="1:11" x14ac:dyDescent="0.3">
      <c r="A18" s="26">
        <v>44887</v>
      </c>
      <c r="B18" s="27" t="s">
        <v>305</v>
      </c>
      <c r="C18" s="28" t="s">
        <v>13</v>
      </c>
      <c r="D18" s="29" t="s">
        <v>316</v>
      </c>
      <c r="E18" s="30" t="s">
        <v>315</v>
      </c>
      <c r="F18" s="53">
        <v>2142</v>
      </c>
      <c r="G18" s="54">
        <v>2040</v>
      </c>
      <c r="H18" s="54">
        <v>102</v>
      </c>
      <c r="I18" s="33"/>
      <c r="J18" s="33"/>
      <c r="K18" s="33"/>
    </row>
    <row r="19" spans="1:11" x14ac:dyDescent="0.3">
      <c r="A19" s="26">
        <v>44900</v>
      </c>
      <c r="B19" s="27" t="s">
        <v>305</v>
      </c>
      <c r="C19" s="28" t="s">
        <v>13</v>
      </c>
      <c r="D19" s="29" t="s">
        <v>519</v>
      </c>
      <c r="E19" s="30" t="s">
        <v>520</v>
      </c>
      <c r="F19" s="53">
        <v>6300</v>
      </c>
      <c r="G19" s="54">
        <v>6000</v>
      </c>
      <c r="H19" s="54">
        <v>300</v>
      </c>
      <c r="I19" s="33"/>
      <c r="J19" s="33"/>
      <c r="K19" s="33"/>
    </row>
    <row r="20" spans="1:11" x14ac:dyDescent="0.3">
      <c r="A20" s="26">
        <v>44900</v>
      </c>
      <c r="B20" s="27" t="s">
        <v>305</v>
      </c>
      <c r="C20" s="28" t="s">
        <v>20</v>
      </c>
      <c r="D20" s="29" t="s">
        <v>521</v>
      </c>
      <c r="E20" s="30" t="s">
        <v>522</v>
      </c>
      <c r="F20" s="56">
        <v>104398.56</v>
      </c>
      <c r="G20" s="33"/>
      <c r="H20" s="33"/>
      <c r="I20" s="33"/>
      <c r="J20" s="33"/>
      <c r="K20" s="55">
        <v>104398.56</v>
      </c>
    </row>
    <row r="21" spans="1:11" x14ac:dyDescent="0.3">
      <c r="A21" s="26">
        <v>44949</v>
      </c>
      <c r="B21" s="27" t="s">
        <v>305</v>
      </c>
      <c r="C21" s="28" t="s">
        <v>20</v>
      </c>
      <c r="D21" s="29" t="s">
        <v>523</v>
      </c>
      <c r="E21" s="30" t="s">
        <v>9</v>
      </c>
      <c r="F21" s="56">
        <v>91780.92</v>
      </c>
      <c r="G21" s="33"/>
      <c r="H21" s="33"/>
      <c r="I21" s="33"/>
      <c r="J21" s="33"/>
      <c r="K21" s="55">
        <v>91780.92</v>
      </c>
    </row>
    <row r="22" spans="1:11" x14ac:dyDescent="0.3">
      <c r="A22" s="26">
        <v>44971</v>
      </c>
      <c r="B22" s="27" t="s">
        <v>305</v>
      </c>
      <c r="C22" s="28" t="s">
        <v>13</v>
      </c>
      <c r="D22" s="29" t="s">
        <v>524</v>
      </c>
      <c r="E22" s="30" t="s">
        <v>525</v>
      </c>
      <c r="F22" s="53">
        <v>6300</v>
      </c>
      <c r="G22" s="54">
        <v>6000</v>
      </c>
      <c r="H22" s="54">
        <v>300</v>
      </c>
      <c r="I22" s="33"/>
      <c r="J22" s="33"/>
      <c r="K22" s="33"/>
    </row>
    <row r="23" spans="1:11" x14ac:dyDescent="0.3">
      <c r="A23" s="26">
        <v>44971</v>
      </c>
      <c r="B23" s="27" t="s">
        <v>305</v>
      </c>
      <c r="C23" s="28" t="s">
        <v>13</v>
      </c>
      <c r="D23" s="29" t="s">
        <v>526</v>
      </c>
      <c r="E23" s="30" t="s">
        <v>527</v>
      </c>
      <c r="F23" s="53">
        <v>6300</v>
      </c>
      <c r="G23" s="54">
        <v>6000</v>
      </c>
      <c r="H23" s="54">
        <v>300</v>
      </c>
      <c r="I23" s="33"/>
      <c r="J23" s="33"/>
      <c r="K23" s="33"/>
    </row>
    <row r="24" spans="1:11" x14ac:dyDescent="0.3">
      <c r="A24" s="26">
        <v>44985</v>
      </c>
      <c r="B24" s="27" t="s">
        <v>305</v>
      </c>
      <c r="C24" s="28" t="s">
        <v>13</v>
      </c>
      <c r="D24" s="29" t="s">
        <v>528</v>
      </c>
      <c r="E24" s="30" t="s">
        <v>518</v>
      </c>
      <c r="F24" s="53">
        <v>10863.72</v>
      </c>
      <c r="G24" s="54">
        <v>12933</v>
      </c>
      <c r="H24" s="54">
        <v>517.32000000000005</v>
      </c>
      <c r="I24" s="55">
        <v>2586.6</v>
      </c>
      <c r="J24" s="33"/>
      <c r="K24" s="33"/>
    </row>
    <row r="25" spans="1:11" x14ac:dyDescent="0.3">
      <c r="A25" s="26">
        <v>44985</v>
      </c>
      <c r="B25" s="27" t="s">
        <v>305</v>
      </c>
      <c r="C25" s="28" t="s">
        <v>13</v>
      </c>
      <c r="D25" s="29" t="s">
        <v>314</v>
      </c>
      <c r="E25" s="30" t="s">
        <v>313</v>
      </c>
      <c r="F25" s="53">
        <v>58514.400000000001</v>
      </c>
      <c r="G25" s="54">
        <v>69660</v>
      </c>
      <c r="H25" s="54">
        <v>2786.4</v>
      </c>
      <c r="I25" s="33"/>
      <c r="J25" s="55">
        <v>13932</v>
      </c>
      <c r="K25" s="33"/>
    </row>
    <row r="26" spans="1:11" x14ac:dyDescent="0.3">
      <c r="A26" s="26">
        <v>44986</v>
      </c>
      <c r="B26" s="27" t="s">
        <v>305</v>
      </c>
      <c r="C26" s="28" t="s">
        <v>13</v>
      </c>
      <c r="D26" s="29" t="s">
        <v>529</v>
      </c>
      <c r="E26" s="30" t="s">
        <v>530</v>
      </c>
      <c r="F26" s="53">
        <v>37275</v>
      </c>
      <c r="G26" s="54">
        <v>35500</v>
      </c>
      <c r="H26" s="54">
        <v>1775</v>
      </c>
      <c r="I26" s="33"/>
      <c r="J26" s="33"/>
      <c r="K26" s="33"/>
    </row>
    <row r="27" spans="1:11" x14ac:dyDescent="0.3">
      <c r="A27" s="26">
        <v>44991</v>
      </c>
      <c r="B27" s="27" t="s">
        <v>305</v>
      </c>
      <c r="C27" s="28" t="s">
        <v>20</v>
      </c>
      <c r="D27" s="29" t="s">
        <v>531</v>
      </c>
      <c r="E27" s="30" t="s">
        <v>9</v>
      </c>
      <c r="F27" s="56">
        <v>37275</v>
      </c>
      <c r="G27" s="33"/>
      <c r="H27" s="33"/>
      <c r="I27" s="33"/>
      <c r="J27" s="33"/>
      <c r="K27" s="55">
        <v>37275</v>
      </c>
    </row>
    <row r="28" spans="1:11" x14ac:dyDescent="0.3">
      <c r="A28" s="26">
        <v>45005</v>
      </c>
      <c r="B28" s="27" t="s">
        <v>305</v>
      </c>
      <c r="C28" s="28" t="s">
        <v>13</v>
      </c>
      <c r="D28" s="29" t="s">
        <v>312</v>
      </c>
      <c r="E28" s="30" t="s">
        <v>311</v>
      </c>
      <c r="F28" s="53">
        <v>5061</v>
      </c>
      <c r="G28" s="54">
        <v>4820</v>
      </c>
      <c r="H28" s="54">
        <v>241</v>
      </c>
      <c r="I28" s="33"/>
      <c r="J28" s="33"/>
      <c r="K28" s="33"/>
    </row>
    <row r="29" spans="1:11" x14ac:dyDescent="0.3">
      <c r="A29" s="26">
        <v>45005</v>
      </c>
      <c r="B29" s="27" t="s">
        <v>305</v>
      </c>
      <c r="C29" s="28" t="s">
        <v>13</v>
      </c>
      <c r="D29" s="29" t="s">
        <v>532</v>
      </c>
      <c r="E29" s="30" t="s">
        <v>533</v>
      </c>
      <c r="F29" s="53">
        <v>3197.88</v>
      </c>
      <c r="G29" s="54">
        <v>3807</v>
      </c>
      <c r="H29" s="54">
        <v>152.28</v>
      </c>
      <c r="I29" s="55">
        <v>761.4</v>
      </c>
      <c r="J29" s="33"/>
      <c r="K29" s="33"/>
    </row>
    <row r="30" spans="1:11" x14ac:dyDescent="0.3">
      <c r="A30" s="26">
        <v>45005</v>
      </c>
      <c r="B30" s="27" t="s">
        <v>305</v>
      </c>
      <c r="C30" s="28" t="s">
        <v>13</v>
      </c>
      <c r="D30" s="29" t="s">
        <v>310</v>
      </c>
      <c r="E30" s="30" t="s">
        <v>309</v>
      </c>
      <c r="F30" s="53">
        <v>3697.68</v>
      </c>
      <c r="G30" s="54">
        <v>4402</v>
      </c>
      <c r="H30" s="54">
        <v>176.08</v>
      </c>
      <c r="I30" s="33"/>
      <c r="J30" s="55">
        <v>880.4</v>
      </c>
      <c r="K30" s="33"/>
    </row>
    <row r="31" spans="1:11" x14ac:dyDescent="0.3">
      <c r="A31" s="26">
        <v>45040</v>
      </c>
      <c r="B31" s="27" t="s">
        <v>305</v>
      </c>
      <c r="C31" s="28" t="s">
        <v>20</v>
      </c>
      <c r="D31" s="29" t="s">
        <v>534</v>
      </c>
      <c r="E31" s="30" t="s">
        <v>535</v>
      </c>
      <c r="F31" s="56">
        <v>20000</v>
      </c>
      <c r="G31" s="33"/>
      <c r="H31" s="33"/>
      <c r="I31" s="33"/>
      <c r="J31" s="33"/>
      <c r="K31" s="55">
        <v>20000</v>
      </c>
    </row>
    <row r="32" spans="1:11" x14ac:dyDescent="0.3">
      <c r="A32" s="26">
        <v>45047</v>
      </c>
      <c r="B32" s="27" t="s">
        <v>305</v>
      </c>
      <c r="C32" s="28" t="s">
        <v>13</v>
      </c>
      <c r="D32" s="29" t="s">
        <v>308</v>
      </c>
      <c r="E32" s="30" t="s">
        <v>307</v>
      </c>
      <c r="F32" s="53">
        <v>7045.92</v>
      </c>
      <c r="G32" s="54">
        <v>8388</v>
      </c>
      <c r="H32" s="54">
        <v>335.52</v>
      </c>
      <c r="I32" s="33"/>
      <c r="J32" s="55">
        <v>1677.6</v>
      </c>
      <c r="K32" s="33"/>
    </row>
    <row r="33" spans="1:11" x14ac:dyDescent="0.3">
      <c r="A33" s="26">
        <v>45062</v>
      </c>
      <c r="B33" s="27" t="s">
        <v>305</v>
      </c>
      <c r="C33" s="28" t="s">
        <v>13</v>
      </c>
      <c r="D33" s="29" t="s">
        <v>536</v>
      </c>
      <c r="E33" s="30" t="s">
        <v>537</v>
      </c>
      <c r="F33" s="53">
        <v>22176</v>
      </c>
      <c r="G33" s="54">
        <v>26400</v>
      </c>
      <c r="H33" s="54">
        <v>1056</v>
      </c>
      <c r="I33" s="55">
        <v>5280</v>
      </c>
      <c r="J33" s="33"/>
      <c r="K33" s="33"/>
    </row>
    <row r="34" spans="1:11" x14ac:dyDescent="0.3">
      <c r="A34" s="26">
        <v>45062</v>
      </c>
      <c r="B34" s="27" t="s">
        <v>305</v>
      </c>
      <c r="C34" s="28" t="s">
        <v>13</v>
      </c>
      <c r="D34" s="29" t="s">
        <v>538</v>
      </c>
      <c r="E34" s="30" t="s">
        <v>539</v>
      </c>
      <c r="F34" s="53">
        <v>1050</v>
      </c>
      <c r="G34" s="54">
        <v>1000</v>
      </c>
      <c r="H34" s="54">
        <v>50</v>
      </c>
      <c r="I34" s="33"/>
      <c r="J34" s="33"/>
      <c r="K34" s="33"/>
    </row>
    <row r="35" spans="1:11" x14ac:dyDescent="0.3">
      <c r="A35" s="26">
        <v>45074</v>
      </c>
      <c r="B35" s="27" t="s">
        <v>305</v>
      </c>
      <c r="C35" s="28" t="s">
        <v>13</v>
      </c>
      <c r="D35" s="29" t="s">
        <v>540</v>
      </c>
      <c r="E35" s="30" t="s">
        <v>541</v>
      </c>
      <c r="F35" s="53">
        <v>6300</v>
      </c>
      <c r="G35" s="54">
        <v>6000</v>
      </c>
      <c r="H35" s="54">
        <v>300</v>
      </c>
      <c r="I35" s="33"/>
      <c r="J35" s="33"/>
      <c r="K35" s="33"/>
    </row>
    <row r="36" spans="1:11" x14ac:dyDescent="0.3">
      <c r="A36" s="26">
        <v>45078</v>
      </c>
      <c r="B36" s="27" t="s">
        <v>305</v>
      </c>
      <c r="C36" s="28" t="s">
        <v>20</v>
      </c>
      <c r="D36" s="29" t="s">
        <v>542</v>
      </c>
      <c r="E36" s="30" t="s">
        <v>543</v>
      </c>
      <c r="F36" s="56">
        <v>25373.88</v>
      </c>
      <c r="G36" s="33"/>
      <c r="H36" s="33"/>
      <c r="I36" s="33"/>
      <c r="J36" s="33"/>
      <c r="K36" s="55">
        <v>25373.88</v>
      </c>
    </row>
    <row r="37" spans="1:11" x14ac:dyDescent="0.3">
      <c r="A37" s="26">
        <v>45092</v>
      </c>
      <c r="B37" s="27" t="s">
        <v>305</v>
      </c>
      <c r="C37" s="28" t="s">
        <v>13</v>
      </c>
      <c r="D37" s="29" t="s">
        <v>544</v>
      </c>
      <c r="E37" s="30" t="s">
        <v>537</v>
      </c>
      <c r="F37" s="53">
        <v>3197.88</v>
      </c>
      <c r="G37" s="54">
        <v>3807</v>
      </c>
      <c r="H37" s="54">
        <v>152.28</v>
      </c>
      <c r="I37" s="55">
        <v>761.4</v>
      </c>
      <c r="J37" s="33"/>
      <c r="K37" s="33"/>
    </row>
    <row r="38" spans="1:11" x14ac:dyDescent="0.3">
      <c r="A38" s="26">
        <v>45092</v>
      </c>
      <c r="B38" s="27" t="s">
        <v>305</v>
      </c>
      <c r="C38" s="28" t="s">
        <v>13</v>
      </c>
      <c r="D38" s="29" t="s">
        <v>306</v>
      </c>
      <c r="E38" s="30" t="s">
        <v>303</v>
      </c>
      <c r="F38" s="53">
        <v>6300.84</v>
      </c>
      <c r="G38" s="54">
        <v>7501</v>
      </c>
      <c r="H38" s="54">
        <v>300.04000000000002</v>
      </c>
      <c r="I38" s="33"/>
      <c r="J38" s="55">
        <v>1500.2</v>
      </c>
      <c r="K38" s="33"/>
    </row>
    <row r="39" spans="1:11" x14ac:dyDescent="0.3">
      <c r="A39" s="26">
        <v>45111</v>
      </c>
      <c r="B39" s="27" t="s">
        <v>305</v>
      </c>
      <c r="C39" s="28" t="s">
        <v>13</v>
      </c>
      <c r="D39" s="29" t="s">
        <v>545</v>
      </c>
      <c r="E39" s="30" t="s">
        <v>546</v>
      </c>
      <c r="F39" s="53">
        <v>18768.96</v>
      </c>
      <c r="G39" s="54">
        <v>22344</v>
      </c>
      <c r="H39" s="54">
        <v>893.76</v>
      </c>
      <c r="I39" s="55">
        <v>4468.8</v>
      </c>
      <c r="J39" s="33"/>
      <c r="K39" s="33"/>
    </row>
    <row r="40" spans="1:11" x14ac:dyDescent="0.3">
      <c r="A40" s="26">
        <v>45117</v>
      </c>
      <c r="B40" s="27" t="s">
        <v>305</v>
      </c>
      <c r="C40" s="28" t="s">
        <v>20</v>
      </c>
      <c r="D40" s="29" t="s">
        <v>547</v>
      </c>
      <c r="E40" s="30" t="s">
        <v>548</v>
      </c>
      <c r="F40" s="56">
        <v>28571.759999999998</v>
      </c>
      <c r="G40" s="33"/>
      <c r="H40" s="33"/>
      <c r="I40" s="33"/>
      <c r="J40" s="33"/>
      <c r="K40" s="55">
        <v>28571.759999999998</v>
      </c>
    </row>
    <row r="41" spans="1:11" x14ac:dyDescent="0.3">
      <c r="A41" s="26">
        <v>45137</v>
      </c>
      <c r="B41" s="27" t="s">
        <v>305</v>
      </c>
      <c r="C41" s="28" t="s">
        <v>13</v>
      </c>
      <c r="D41" s="29" t="s">
        <v>549</v>
      </c>
      <c r="E41" s="30" t="s">
        <v>550</v>
      </c>
      <c r="F41" s="53">
        <v>4099.2</v>
      </c>
      <c r="G41" s="54">
        <v>4880</v>
      </c>
      <c r="H41" s="54">
        <v>195.2</v>
      </c>
      <c r="I41" s="55">
        <v>976</v>
      </c>
      <c r="J41" s="33"/>
      <c r="K41" s="33"/>
    </row>
    <row r="42" spans="1:11" x14ac:dyDescent="0.3">
      <c r="A42" s="26">
        <v>45137</v>
      </c>
      <c r="B42" s="27" t="s">
        <v>305</v>
      </c>
      <c r="C42" s="28" t="s">
        <v>13</v>
      </c>
      <c r="D42" s="29" t="s">
        <v>551</v>
      </c>
      <c r="E42" s="30" t="s">
        <v>552</v>
      </c>
      <c r="F42" s="53">
        <v>6300</v>
      </c>
      <c r="G42" s="54">
        <v>6000</v>
      </c>
      <c r="H42" s="54">
        <v>300</v>
      </c>
      <c r="I42" s="33"/>
      <c r="J42" s="33"/>
      <c r="K42" s="33"/>
    </row>
    <row r="43" spans="1:11" x14ac:dyDescent="0.3">
      <c r="A43" s="26">
        <v>45141</v>
      </c>
      <c r="B43" s="27" t="s">
        <v>305</v>
      </c>
      <c r="C43" s="28" t="s">
        <v>20</v>
      </c>
      <c r="D43" s="29" t="s">
        <v>553</v>
      </c>
      <c r="E43" s="30" t="s">
        <v>554</v>
      </c>
      <c r="F43" s="56">
        <v>15000</v>
      </c>
      <c r="G43" s="33"/>
      <c r="H43" s="33"/>
      <c r="I43" s="33"/>
      <c r="J43" s="33"/>
      <c r="K43" s="55">
        <v>15000</v>
      </c>
    </row>
    <row r="44" spans="1:11" x14ac:dyDescent="0.3">
      <c r="A44" s="26">
        <v>45154</v>
      </c>
      <c r="B44" s="27" t="s">
        <v>305</v>
      </c>
      <c r="C44" s="28" t="s">
        <v>20</v>
      </c>
      <c r="D44" s="29" t="s">
        <v>555</v>
      </c>
      <c r="E44" s="30" t="s">
        <v>554</v>
      </c>
      <c r="F44" s="56">
        <v>29360</v>
      </c>
      <c r="G44" s="33"/>
      <c r="H44" s="33"/>
      <c r="I44" s="33"/>
      <c r="J44" s="33"/>
      <c r="K44" s="55">
        <v>29360</v>
      </c>
    </row>
    <row r="45" spans="1:11" x14ac:dyDescent="0.3">
      <c r="A45" s="26">
        <v>45158</v>
      </c>
      <c r="B45" s="27" t="s">
        <v>305</v>
      </c>
      <c r="C45" s="28" t="s">
        <v>13</v>
      </c>
      <c r="D45" s="29" t="s">
        <v>304</v>
      </c>
      <c r="E45" s="30" t="s">
        <v>303</v>
      </c>
      <c r="F45" s="53">
        <v>11902.8</v>
      </c>
      <c r="G45" s="54">
        <v>14170</v>
      </c>
      <c r="H45" s="54">
        <v>566.79999999999995</v>
      </c>
      <c r="I45" s="33"/>
      <c r="J45" s="55">
        <v>2834</v>
      </c>
      <c r="K45" s="33"/>
    </row>
    <row r="46" spans="1:11" x14ac:dyDescent="0.3">
      <c r="A46" s="26">
        <v>45184</v>
      </c>
      <c r="B46" s="27" t="s">
        <v>305</v>
      </c>
      <c r="C46" s="28" t="s">
        <v>20</v>
      </c>
      <c r="D46" s="29" t="s">
        <v>556</v>
      </c>
      <c r="E46" s="30" t="s">
        <v>557</v>
      </c>
      <c r="F46" s="56">
        <v>36725</v>
      </c>
      <c r="G46" s="33"/>
      <c r="H46" s="33"/>
      <c r="I46" s="33"/>
      <c r="J46" s="33"/>
      <c r="K46" s="55">
        <v>36725</v>
      </c>
    </row>
    <row r="47" spans="1:11" x14ac:dyDescent="0.3">
      <c r="A47" s="40"/>
      <c r="B47" s="34" t="s">
        <v>10</v>
      </c>
      <c r="C47" s="35" t="s">
        <v>9</v>
      </c>
      <c r="D47" s="36" t="s">
        <v>9</v>
      </c>
      <c r="E47" s="37" t="s">
        <v>9</v>
      </c>
      <c r="F47" s="57">
        <v>26045.64</v>
      </c>
      <c r="G47" s="58">
        <v>450292.2</v>
      </c>
      <c r="H47" s="58">
        <v>19739.560000000001</v>
      </c>
      <c r="I47" s="59">
        <v>25296.400000000001</v>
      </c>
      <c r="J47" s="59">
        <v>30204.6</v>
      </c>
      <c r="K47" s="59">
        <v>388485.12</v>
      </c>
    </row>
  </sheetData>
  <mergeCells count="10">
    <mergeCell ref="A8:C8"/>
    <mergeCell ref="A9:C9"/>
    <mergeCell ref="A10:C10"/>
    <mergeCell ref="A11:C11"/>
    <mergeCell ref="A7:C7"/>
    <mergeCell ref="A1:C1"/>
    <mergeCell ref="A2:C2"/>
    <mergeCell ref="A3:C3"/>
    <mergeCell ref="A4:C4"/>
    <mergeCell ref="A6:C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B1C8-6B47-4213-A23E-F11135725241}">
  <sheetPr codeName="Sheet7"/>
  <dimension ref="A1:P19"/>
  <sheetViews>
    <sheetView topLeftCell="A10" workbookViewId="0">
      <selection activeCell="L13" sqref="L13"/>
    </sheetView>
  </sheetViews>
  <sheetFormatPr defaultRowHeight="14.4" x14ac:dyDescent="0.3"/>
  <cols>
    <col min="1" max="1" width="21.109375" bestFit="1" customWidth="1"/>
    <col min="2" max="2" width="24" bestFit="1" customWidth="1"/>
    <col min="3" max="3" width="7.44140625" bestFit="1" customWidth="1"/>
    <col min="4" max="4" width="12.88671875" bestFit="1" customWidth="1"/>
    <col min="5" max="5" width="44.44140625" bestFit="1" customWidth="1"/>
    <col min="6" max="7" width="10.6640625" bestFit="1" customWidth="1"/>
    <col min="8" max="8" width="16.6640625" bestFit="1" customWidth="1"/>
    <col min="9" max="9" width="9.6640625" bestFit="1" customWidth="1"/>
    <col min="10" max="10" width="8.88671875" bestFit="1" customWidth="1"/>
    <col min="11" max="11" width="9" bestFit="1" customWidth="1"/>
    <col min="12" max="12" width="15.88671875" bestFit="1" customWidth="1"/>
    <col min="13" max="13" width="18.109375" bestFit="1" customWidth="1"/>
    <col min="14" max="14" width="9" bestFit="1" customWidth="1"/>
    <col min="15" max="15" width="20.109375" bestFit="1" customWidth="1"/>
    <col min="16" max="16" width="16.6640625" bestFit="1" customWidth="1"/>
  </cols>
  <sheetData>
    <row r="1" spans="1:16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6" x14ac:dyDescent="0.3">
      <c r="A7" s="115" t="s">
        <v>326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3">
      <c r="A12" s="116" t="s">
        <v>30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ht="41.25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335</v>
      </c>
      <c r="I13" s="16" t="s">
        <v>5</v>
      </c>
      <c r="J13" s="16" t="s">
        <v>47</v>
      </c>
      <c r="K13" s="16" t="s">
        <v>22</v>
      </c>
      <c r="L13" s="16" t="s">
        <v>334</v>
      </c>
      <c r="M13" s="16" t="s">
        <v>333</v>
      </c>
      <c r="N13" s="16" t="s">
        <v>48</v>
      </c>
      <c r="O13" s="16" t="s">
        <v>332</v>
      </c>
      <c r="P13" s="16" t="s">
        <v>331</v>
      </c>
    </row>
    <row r="14" spans="1:16" ht="41.25" customHeight="1" x14ac:dyDescent="0.3">
      <c r="A14" s="18">
        <v>45050</v>
      </c>
      <c r="B14" s="19" t="s">
        <v>326</v>
      </c>
      <c r="C14" s="20" t="s">
        <v>13</v>
      </c>
      <c r="D14" s="21" t="s">
        <v>330</v>
      </c>
      <c r="E14" s="22" t="s">
        <v>329</v>
      </c>
      <c r="F14" s="50">
        <v>10064.73</v>
      </c>
      <c r="G14" s="49">
        <v>10089.950000000001</v>
      </c>
      <c r="H14" s="49">
        <v>529.72</v>
      </c>
      <c r="I14" s="49">
        <v>504.5</v>
      </c>
      <c r="J14" s="49"/>
      <c r="K14" s="49"/>
      <c r="L14" s="49"/>
      <c r="M14" s="49"/>
      <c r="N14" s="49"/>
      <c r="O14" s="49"/>
      <c r="P14" s="49"/>
    </row>
    <row r="15" spans="1:16" ht="41.25" customHeight="1" x14ac:dyDescent="0.3">
      <c r="A15" s="26">
        <v>45215</v>
      </c>
      <c r="B15" s="27" t="s">
        <v>326</v>
      </c>
      <c r="C15" s="28" t="s">
        <v>13</v>
      </c>
      <c r="D15" s="29" t="s">
        <v>328</v>
      </c>
      <c r="E15" s="30" t="s">
        <v>327</v>
      </c>
      <c r="F15" s="48">
        <v>61512.59</v>
      </c>
      <c r="G15" s="47">
        <v>61666.76</v>
      </c>
      <c r="H15" s="47"/>
      <c r="I15" s="47">
        <v>2929.17</v>
      </c>
      <c r="J15" s="47"/>
      <c r="K15" s="47"/>
      <c r="L15" s="47"/>
      <c r="M15" s="47"/>
      <c r="N15" s="47"/>
      <c r="O15" s="47"/>
      <c r="P15" s="47">
        <v>3083.34</v>
      </c>
    </row>
    <row r="16" spans="1:16" ht="41.25" customHeight="1" x14ac:dyDescent="0.3">
      <c r="A16" s="26">
        <v>45266</v>
      </c>
      <c r="B16" s="27" t="s">
        <v>326</v>
      </c>
      <c r="C16" s="28" t="s">
        <v>13</v>
      </c>
      <c r="D16" s="29" t="s">
        <v>325</v>
      </c>
      <c r="E16" s="30" t="s">
        <v>324</v>
      </c>
      <c r="F16" s="48">
        <v>16514.86</v>
      </c>
      <c r="G16" s="47">
        <v>16556.25</v>
      </c>
      <c r="H16" s="47"/>
      <c r="I16" s="47">
        <v>786.42</v>
      </c>
      <c r="J16" s="47"/>
      <c r="K16" s="47"/>
      <c r="L16" s="47"/>
      <c r="M16" s="47"/>
      <c r="N16" s="47"/>
      <c r="O16" s="47"/>
      <c r="P16" s="47">
        <v>827.81</v>
      </c>
    </row>
    <row r="17" spans="1:16" x14ac:dyDescent="0.3">
      <c r="A17" s="40"/>
      <c r="B17" s="34" t="s">
        <v>10</v>
      </c>
      <c r="C17" s="35" t="s">
        <v>9</v>
      </c>
      <c r="D17" s="36" t="s">
        <v>9</v>
      </c>
      <c r="E17" s="37" t="s">
        <v>9</v>
      </c>
      <c r="F17" s="46">
        <v>88092.18</v>
      </c>
      <c r="G17" s="45">
        <v>88312.960000000006</v>
      </c>
      <c r="H17" s="45">
        <v>529.72</v>
      </c>
      <c r="I17" s="45">
        <v>4220.09</v>
      </c>
      <c r="J17" s="45"/>
      <c r="K17" s="45"/>
      <c r="L17" s="45"/>
      <c r="M17" s="45"/>
      <c r="N17" s="45"/>
      <c r="O17" s="45"/>
      <c r="P17" s="45">
        <v>3911.15</v>
      </c>
    </row>
    <row r="19" spans="1:16" x14ac:dyDescent="0.3">
      <c r="G19" s="2"/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C2FF-794F-4E7C-8CCB-C6C875684C78}">
  <sheetPr codeName="Sheet95"/>
  <dimension ref="A1:P14"/>
  <sheetViews>
    <sheetView workbookViewId="0">
      <selection activeCell="B30" sqref="B30"/>
    </sheetView>
  </sheetViews>
  <sheetFormatPr defaultRowHeight="14.4" x14ac:dyDescent="0.3"/>
  <cols>
    <col min="1" max="1" width="21.109375" bestFit="1" customWidth="1"/>
    <col min="2" max="2" width="68" bestFit="1" customWidth="1"/>
    <col min="3" max="3" width="7.44140625" bestFit="1" customWidth="1"/>
    <col min="4" max="4" width="12.88671875" bestFit="1" customWidth="1"/>
    <col min="5" max="5" width="19.5546875" bestFit="1" customWidth="1"/>
    <col min="6" max="7" width="11.6640625" bestFit="1" customWidth="1"/>
    <col min="8" max="8" width="10.6640625" bestFit="1" customWidth="1"/>
    <col min="9" max="9" width="8.5546875" bestFit="1" customWidth="1"/>
    <col min="10" max="10" width="8.88671875" bestFit="1" customWidth="1"/>
    <col min="11" max="11" width="10.88671875" bestFit="1" customWidth="1"/>
    <col min="12" max="12" width="9.5546875" bestFit="1" customWidth="1"/>
    <col min="13" max="13" width="9.6640625" bestFit="1" customWidth="1"/>
    <col min="14" max="14" width="13.109375" bestFit="1" customWidth="1"/>
    <col min="16" max="16" width="8.88671875" bestFit="1" customWidth="1"/>
  </cols>
  <sheetData>
    <row r="1" spans="1:16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6" x14ac:dyDescent="0.3">
      <c r="A7" s="115" t="s">
        <v>23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116" t="s">
        <v>372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ht="75.75" customHeight="1" x14ac:dyDescent="0.3">
      <c r="A12" s="16" t="s">
        <v>29</v>
      </c>
      <c r="B12" s="17" t="s">
        <v>28</v>
      </c>
      <c r="C12" s="16" t="s">
        <v>27</v>
      </c>
      <c r="D12" s="16" t="s">
        <v>26</v>
      </c>
      <c r="E12" s="16" t="s">
        <v>25</v>
      </c>
      <c r="F12" s="16" t="s">
        <v>24</v>
      </c>
      <c r="G12" s="16" t="s">
        <v>23</v>
      </c>
      <c r="H12" s="16" t="s">
        <v>5</v>
      </c>
      <c r="I12" s="16" t="s">
        <v>49</v>
      </c>
      <c r="J12" s="16" t="s">
        <v>288</v>
      </c>
      <c r="K12" s="16" t="s">
        <v>332</v>
      </c>
      <c r="L12" s="16" t="s">
        <v>331</v>
      </c>
      <c r="M12" s="16" t="s">
        <v>333</v>
      </c>
      <c r="N12" s="16" t="s">
        <v>301</v>
      </c>
      <c r="O12" s="16" t="s">
        <v>46</v>
      </c>
      <c r="P12" s="16" t="s">
        <v>47</v>
      </c>
    </row>
    <row r="13" spans="1:16" ht="63" customHeight="1" x14ac:dyDescent="0.3">
      <c r="A13" s="18">
        <v>45204</v>
      </c>
      <c r="B13" s="19" t="s">
        <v>371</v>
      </c>
      <c r="C13" s="20" t="s">
        <v>13</v>
      </c>
      <c r="D13" s="21" t="s">
        <v>370</v>
      </c>
      <c r="E13" s="22" t="s">
        <v>369</v>
      </c>
      <c r="F13" s="50">
        <v>361575.9</v>
      </c>
      <c r="G13" s="49">
        <v>344358</v>
      </c>
      <c r="H13" s="49">
        <v>17217.900000000001</v>
      </c>
      <c r="I13" s="25"/>
      <c r="J13" s="25"/>
      <c r="K13" s="25"/>
      <c r="L13" s="25"/>
      <c r="M13" s="25"/>
      <c r="N13" s="25"/>
      <c r="O13" s="25"/>
      <c r="P13" s="25"/>
    </row>
    <row r="14" spans="1:16" x14ac:dyDescent="0.3">
      <c r="A14" s="40"/>
      <c r="B14" s="34" t="s">
        <v>10</v>
      </c>
      <c r="C14" s="35" t="s">
        <v>9</v>
      </c>
      <c r="D14" s="36" t="s">
        <v>9</v>
      </c>
      <c r="E14" s="37" t="s">
        <v>9</v>
      </c>
      <c r="F14" s="46">
        <v>361575.9</v>
      </c>
      <c r="G14" s="45">
        <v>344358</v>
      </c>
      <c r="H14" s="45">
        <v>17217.900000000001</v>
      </c>
      <c r="I14" s="41"/>
      <c r="J14" s="41"/>
      <c r="K14" s="41"/>
      <c r="L14" s="41"/>
      <c r="M14" s="41"/>
      <c r="N14" s="41"/>
      <c r="O14" s="41"/>
      <c r="P14" s="41"/>
    </row>
  </sheetData>
  <mergeCells count="10">
    <mergeCell ref="A8:C8"/>
    <mergeCell ref="A9:C9"/>
    <mergeCell ref="A10:C10"/>
    <mergeCell ref="A11:C11"/>
    <mergeCell ref="A1:C1"/>
    <mergeCell ref="A2:C2"/>
    <mergeCell ref="A3:C3"/>
    <mergeCell ref="A4:C4"/>
    <mergeCell ref="A5:C5"/>
    <mergeCell ref="A7:C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3F67-BE7A-47D9-B446-F6899DF69899}">
  <sheetPr codeName="Sheet8"/>
  <dimension ref="A1:O21"/>
  <sheetViews>
    <sheetView workbookViewId="0">
      <selection activeCell="F16" sqref="F16"/>
    </sheetView>
  </sheetViews>
  <sheetFormatPr defaultRowHeight="14.4" x14ac:dyDescent="0.3"/>
  <cols>
    <col min="1" max="1" width="21.109375" bestFit="1" customWidth="1"/>
    <col min="2" max="2" width="48.44140625" bestFit="1" customWidth="1"/>
    <col min="3" max="3" width="7.44140625" bestFit="1" customWidth="1"/>
    <col min="4" max="4" width="12.88671875" bestFit="1" customWidth="1"/>
    <col min="5" max="5" width="48.33203125" bestFit="1" customWidth="1"/>
    <col min="6" max="7" width="12.6640625" bestFit="1" customWidth="1"/>
    <col min="8" max="8" width="10.6640625" bestFit="1" customWidth="1"/>
    <col min="9" max="9" width="9" bestFit="1" customWidth="1"/>
    <col min="10" max="10" width="11.44140625" bestFit="1" customWidth="1"/>
    <col min="11" max="11" width="8.88671875" bestFit="1" customWidth="1"/>
    <col min="12" max="12" width="9" bestFit="1" customWidth="1"/>
    <col min="13" max="13" width="10.6640625" bestFit="1" customWidth="1"/>
    <col min="14" max="14" width="12.44140625" bestFit="1" customWidth="1"/>
    <col min="15" max="15" width="8.6640625" bestFit="1" customWidth="1"/>
  </cols>
  <sheetData>
    <row r="1" spans="1:15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15.6" x14ac:dyDescent="0.3">
      <c r="A7" s="115" t="s">
        <v>43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116" t="s">
        <v>44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116" t="s">
        <v>32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116" t="s">
        <v>39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116" t="s">
        <v>9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3">
      <c r="A13" s="116" t="s">
        <v>45</v>
      </c>
      <c r="B13" s="116"/>
      <c r="C13" s="116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3">
      <c r="A14" s="116" t="s">
        <v>336</v>
      </c>
      <c r="B14" s="116"/>
      <c r="C14" s="11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66" customHeight="1" x14ac:dyDescent="0.3">
      <c r="A15" s="16" t="s">
        <v>29</v>
      </c>
      <c r="B15" s="17" t="s">
        <v>28</v>
      </c>
      <c r="C15" s="16" t="s">
        <v>27</v>
      </c>
      <c r="D15" s="16" t="s">
        <v>26</v>
      </c>
      <c r="E15" s="16" t="s">
        <v>25</v>
      </c>
      <c r="F15" s="16" t="s">
        <v>24</v>
      </c>
      <c r="G15" s="16" t="s">
        <v>23</v>
      </c>
      <c r="H15" s="16" t="s">
        <v>5</v>
      </c>
      <c r="I15" s="16" t="s">
        <v>22</v>
      </c>
      <c r="J15" s="16" t="s">
        <v>46</v>
      </c>
      <c r="K15" s="16" t="s">
        <v>47</v>
      </c>
      <c r="L15" s="16" t="s">
        <v>48</v>
      </c>
      <c r="M15" s="16" t="s">
        <v>49</v>
      </c>
      <c r="N15" s="16" t="s">
        <v>50</v>
      </c>
      <c r="O15" s="16" t="s">
        <v>51</v>
      </c>
    </row>
    <row r="16" spans="1:15" ht="39" customHeight="1" x14ac:dyDescent="0.3">
      <c r="A16" s="18">
        <v>45155</v>
      </c>
      <c r="B16" s="19" t="s">
        <v>43</v>
      </c>
      <c r="C16" s="20" t="s">
        <v>13</v>
      </c>
      <c r="D16" s="21" t="s">
        <v>337</v>
      </c>
      <c r="E16" s="22" t="s">
        <v>338</v>
      </c>
      <c r="F16" s="50">
        <v>672314.15</v>
      </c>
      <c r="G16" s="49">
        <v>673999.15</v>
      </c>
      <c r="H16" s="49">
        <v>33699.96</v>
      </c>
      <c r="I16" s="49"/>
      <c r="J16" s="49"/>
      <c r="K16" s="49"/>
      <c r="L16" s="49"/>
      <c r="M16" s="49">
        <v>35384.959999999999</v>
      </c>
      <c r="N16" s="49"/>
      <c r="O16" s="49"/>
    </row>
    <row r="17" spans="1:15" ht="39" customHeight="1" x14ac:dyDescent="0.3">
      <c r="A17" s="26">
        <v>45156</v>
      </c>
      <c r="B17" s="27" t="s">
        <v>43</v>
      </c>
      <c r="C17" s="28" t="s">
        <v>13</v>
      </c>
      <c r="D17" s="29" t="s">
        <v>339</v>
      </c>
      <c r="E17" s="30" t="s">
        <v>340</v>
      </c>
      <c r="F17" s="48">
        <v>323184.01</v>
      </c>
      <c r="G17" s="47">
        <v>323994</v>
      </c>
      <c r="H17" s="47">
        <v>16199.7</v>
      </c>
      <c r="I17" s="47"/>
      <c r="J17" s="47"/>
      <c r="K17" s="47"/>
      <c r="L17" s="47"/>
      <c r="M17" s="47">
        <v>17009.689999999999</v>
      </c>
      <c r="N17" s="47"/>
      <c r="O17" s="47"/>
    </row>
    <row r="18" spans="1:15" ht="39" customHeight="1" x14ac:dyDescent="0.3">
      <c r="A18" s="26">
        <v>45209</v>
      </c>
      <c r="B18" s="27" t="s">
        <v>43</v>
      </c>
      <c r="C18" s="28" t="s">
        <v>13</v>
      </c>
      <c r="D18" s="29" t="s">
        <v>341</v>
      </c>
      <c r="E18" s="30" t="s">
        <v>342</v>
      </c>
      <c r="F18" s="48">
        <v>161592.01</v>
      </c>
      <c r="G18" s="47">
        <v>161997</v>
      </c>
      <c r="H18" s="47">
        <v>8099.85</v>
      </c>
      <c r="I18" s="47"/>
      <c r="J18" s="47"/>
      <c r="K18" s="47"/>
      <c r="L18" s="47"/>
      <c r="M18" s="47">
        <v>8504.84</v>
      </c>
      <c r="N18" s="47"/>
      <c r="O18" s="47"/>
    </row>
    <row r="19" spans="1:15" ht="39" customHeight="1" x14ac:dyDescent="0.3">
      <c r="A19" s="26">
        <v>45244</v>
      </c>
      <c r="B19" s="27" t="s">
        <v>43</v>
      </c>
      <c r="C19" s="28" t="s">
        <v>13</v>
      </c>
      <c r="D19" s="29" t="s">
        <v>343</v>
      </c>
      <c r="E19" s="30" t="s">
        <v>344</v>
      </c>
      <c r="F19" s="48">
        <v>159184.18</v>
      </c>
      <c r="G19" s="47">
        <v>159583.13</v>
      </c>
      <c r="H19" s="47">
        <v>7979.16</v>
      </c>
      <c r="I19" s="47"/>
      <c r="J19" s="47"/>
      <c r="K19" s="47"/>
      <c r="L19" s="47"/>
      <c r="M19" s="47">
        <v>8378.11</v>
      </c>
      <c r="N19" s="47"/>
      <c r="O19" s="47"/>
    </row>
    <row r="20" spans="1:15" ht="39" customHeight="1" x14ac:dyDescent="0.3">
      <c r="A20" s="26">
        <v>45267</v>
      </c>
      <c r="B20" s="27" t="s">
        <v>43</v>
      </c>
      <c r="C20" s="28" t="s">
        <v>13</v>
      </c>
      <c r="D20" s="29" t="s">
        <v>345</v>
      </c>
      <c r="E20" s="30" t="s">
        <v>346</v>
      </c>
      <c r="F20" s="48">
        <v>161592.01</v>
      </c>
      <c r="G20" s="47">
        <v>161997</v>
      </c>
      <c r="H20" s="47">
        <v>8099.85</v>
      </c>
      <c r="I20" s="47"/>
      <c r="J20" s="47"/>
      <c r="K20" s="47"/>
      <c r="L20" s="47"/>
      <c r="M20" s="47">
        <v>8504.84</v>
      </c>
      <c r="N20" s="47"/>
      <c r="O20" s="47"/>
    </row>
    <row r="21" spans="1:15" ht="39" customHeight="1" x14ac:dyDescent="0.3">
      <c r="A21" s="40"/>
      <c r="B21" s="34" t="s">
        <v>10</v>
      </c>
      <c r="C21" s="35" t="s">
        <v>9</v>
      </c>
      <c r="D21" s="36" t="s">
        <v>9</v>
      </c>
      <c r="E21" s="37" t="s">
        <v>9</v>
      </c>
      <c r="F21" s="46">
        <v>1477866.36</v>
      </c>
      <c r="G21" s="45">
        <v>1481570.28</v>
      </c>
      <c r="H21" s="45">
        <v>74078.52</v>
      </c>
      <c r="I21" s="45"/>
      <c r="J21" s="45"/>
      <c r="K21" s="45"/>
      <c r="L21" s="45"/>
      <c r="M21" s="45">
        <v>77782.44</v>
      </c>
      <c r="N21" s="45"/>
      <c r="O21" s="45"/>
    </row>
  </sheetData>
  <mergeCells count="13">
    <mergeCell ref="A14:C14"/>
    <mergeCell ref="A8:C8"/>
    <mergeCell ref="A9:C9"/>
    <mergeCell ref="A10:C10"/>
    <mergeCell ref="A11:C11"/>
    <mergeCell ref="A12:C12"/>
    <mergeCell ref="A13:C13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37C6-C51E-41EA-AB52-EBE2680B6858}">
  <sheetPr codeName="Sheet9"/>
  <dimension ref="A1:P25"/>
  <sheetViews>
    <sheetView topLeftCell="A22" workbookViewId="0">
      <selection activeCell="P25" sqref="P25"/>
    </sheetView>
  </sheetViews>
  <sheetFormatPr defaultRowHeight="14.4" x14ac:dyDescent="0.3"/>
  <cols>
    <col min="1" max="1" width="21.109375" bestFit="1" customWidth="1"/>
    <col min="2" max="2" width="24" bestFit="1" customWidth="1"/>
    <col min="3" max="3" width="7.44140625" bestFit="1" customWidth="1"/>
    <col min="4" max="4" width="12.88671875" bestFit="1" customWidth="1"/>
    <col min="5" max="5" width="39" bestFit="1" customWidth="1"/>
    <col min="6" max="7" width="11.6640625" bestFit="1" customWidth="1"/>
    <col min="8" max="8" width="9.6640625" bestFit="1" customWidth="1"/>
    <col min="9" max="9" width="10.6640625" bestFit="1" customWidth="1"/>
    <col min="10" max="10" width="8.88671875" bestFit="1" customWidth="1"/>
    <col min="11" max="11" width="9" bestFit="1" customWidth="1"/>
    <col min="12" max="12" width="14.33203125" bestFit="1" customWidth="1"/>
    <col min="13" max="13" width="10.88671875" bestFit="1" customWidth="1"/>
    <col min="14" max="14" width="9.6640625" bestFit="1" customWidth="1"/>
    <col min="15" max="16" width="11.6640625" bestFit="1" customWidth="1"/>
  </cols>
  <sheetData>
    <row r="1" spans="1:16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6" x14ac:dyDescent="0.3">
      <c r="A7" s="115" t="s">
        <v>326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3">
      <c r="A12" s="116" t="s">
        <v>30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ht="66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335</v>
      </c>
      <c r="I13" s="16" t="s">
        <v>5</v>
      </c>
      <c r="J13" s="16" t="s">
        <v>47</v>
      </c>
      <c r="K13" s="16" t="s">
        <v>22</v>
      </c>
      <c r="L13" s="16" t="s">
        <v>334</v>
      </c>
      <c r="M13" s="16" t="s">
        <v>333</v>
      </c>
      <c r="N13" s="16" t="s">
        <v>48</v>
      </c>
      <c r="O13" s="16" t="s">
        <v>332</v>
      </c>
      <c r="P13" s="16" t="s">
        <v>331</v>
      </c>
    </row>
    <row r="14" spans="1:16" ht="66" customHeight="1" x14ac:dyDescent="0.3">
      <c r="A14" s="18">
        <v>45189</v>
      </c>
      <c r="B14" s="19" t="s">
        <v>326</v>
      </c>
      <c r="C14" s="20" t="s">
        <v>13</v>
      </c>
      <c r="D14" s="21" t="s">
        <v>368</v>
      </c>
      <c r="E14" s="22" t="s">
        <v>367</v>
      </c>
      <c r="F14" s="50">
        <v>3025.02</v>
      </c>
      <c r="G14" s="49">
        <v>3032.6</v>
      </c>
      <c r="H14" s="49"/>
      <c r="I14" s="49">
        <v>151.63</v>
      </c>
      <c r="J14" s="49"/>
      <c r="K14" s="49"/>
      <c r="L14" s="49"/>
      <c r="M14" s="49">
        <v>159.21</v>
      </c>
      <c r="N14" s="49"/>
      <c r="O14" s="49"/>
      <c r="P14" s="49"/>
    </row>
    <row r="15" spans="1:16" ht="66" customHeight="1" x14ac:dyDescent="0.3">
      <c r="A15" s="26">
        <v>45210</v>
      </c>
      <c r="B15" s="27" t="s">
        <v>326</v>
      </c>
      <c r="C15" s="28" t="s">
        <v>13</v>
      </c>
      <c r="D15" s="29" t="s">
        <v>366</v>
      </c>
      <c r="E15" s="30" t="s">
        <v>365</v>
      </c>
      <c r="F15" s="48">
        <v>3025.02</v>
      </c>
      <c r="G15" s="47">
        <v>3032.6</v>
      </c>
      <c r="H15" s="47"/>
      <c r="I15" s="47">
        <v>144.05000000000001</v>
      </c>
      <c r="J15" s="47"/>
      <c r="K15" s="47"/>
      <c r="L15" s="47"/>
      <c r="M15" s="47"/>
      <c r="N15" s="47"/>
      <c r="O15" s="47">
        <v>151.63</v>
      </c>
      <c r="P15" s="47"/>
    </row>
    <row r="16" spans="1:16" ht="66" customHeight="1" x14ac:dyDescent="0.3">
      <c r="A16" s="26">
        <v>45215</v>
      </c>
      <c r="B16" s="27" t="s">
        <v>326</v>
      </c>
      <c r="C16" s="28" t="s">
        <v>13</v>
      </c>
      <c r="D16" s="29" t="s">
        <v>364</v>
      </c>
      <c r="E16" s="30" t="s">
        <v>363</v>
      </c>
      <c r="F16" s="48">
        <v>20339.03</v>
      </c>
      <c r="G16" s="47">
        <v>20390</v>
      </c>
      <c r="H16" s="47"/>
      <c r="I16" s="47">
        <v>968.53</v>
      </c>
      <c r="J16" s="47"/>
      <c r="K16" s="47"/>
      <c r="L16" s="47"/>
      <c r="M16" s="47">
        <v>1019.5</v>
      </c>
      <c r="N16" s="47"/>
      <c r="O16" s="47"/>
      <c r="P16" s="47"/>
    </row>
    <row r="17" spans="1:16" ht="66" customHeight="1" x14ac:dyDescent="0.3">
      <c r="A17" s="26">
        <v>45215</v>
      </c>
      <c r="B17" s="27" t="s">
        <v>326</v>
      </c>
      <c r="C17" s="28" t="s">
        <v>13</v>
      </c>
      <c r="D17" s="29" t="s">
        <v>362</v>
      </c>
      <c r="E17" s="30" t="s">
        <v>361</v>
      </c>
      <c r="F17" s="48">
        <v>2363.2800000000002</v>
      </c>
      <c r="G17" s="47">
        <v>2369.1999999999998</v>
      </c>
      <c r="H17" s="47"/>
      <c r="I17" s="47">
        <v>112.54</v>
      </c>
      <c r="J17" s="47"/>
      <c r="K17" s="47"/>
      <c r="L17" s="47"/>
      <c r="M17" s="47"/>
      <c r="N17" s="47"/>
      <c r="O17" s="47">
        <v>118.46</v>
      </c>
      <c r="P17" s="47"/>
    </row>
    <row r="18" spans="1:16" ht="66" customHeight="1" x14ac:dyDescent="0.3">
      <c r="A18" s="26">
        <v>45223</v>
      </c>
      <c r="B18" s="27" t="s">
        <v>326</v>
      </c>
      <c r="C18" s="28" t="s">
        <v>13</v>
      </c>
      <c r="D18" s="29" t="s">
        <v>360</v>
      </c>
      <c r="E18" s="30" t="s">
        <v>359</v>
      </c>
      <c r="F18" s="48">
        <v>74665.87</v>
      </c>
      <c r="G18" s="47">
        <v>74853</v>
      </c>
      <c r="H18" s="47"/>
      <c r="I18" s="47">
        <v>3555.52</v>
      </c>
      <c r="J18" s="47"/>
      <c r="K18" s="47"/>
      <c r="L18" s="47"/>
      <c r="M18" s="47"/>
      <c r="N18" s="47"/>
      <c r="O18" s="47">
        <v>3742.65</v>
      </c>
      <c r="P18" s="47"/>
    </row>
    <row r="19" spans="1:16" ht="66" customHeight="1" x14ac:dyDescent="0.3">
      <c r="A19" s="26">
        <v>45237</v>
      </c>
      <c r="B19" s="27" t="s">
        <v>326</v>
      </c>
      <c r="C19" s="28" t="s">
        <v>13</v>
      </c>
      <c r="D19" s="29" t="s">
        <v>358</v>
      </c>
      <c r="E19" s="30" t="s">
        <v>357</v>
      </c>
      <c r="F19" s="48">
        <v>12987.45</v>
      </c>
      <c r="G19" s="47">
        <v>13020</v>
      </c>
      <c r="H19" s="47"/>
      <c r="I19" s="47">
        <v>618.45000000000005</v>
      </c>
      <c r="J19" s="47"/>
      <c r="K19" s="47"/>
      <c r="L19" s="47"/>
      <c r="M19" s="47"/>
      <c r="N19" s="47"/>
      <c r="O19" s="47">
        <v>651</v>
      </c>
      <c r="P19" s="47"/>
    </row>
    <row r="20" spans="1:16" ht="66" customHeight="1" x14ac:dyDescent="0.3">
      <c r="A20" s="26">
        <v>45237</v>
      </c>
      <c r="B20" s="27" t="s">
        <v>326</v>
      </c>
      <c r="C20" s="28" t="s">
        <v>13</v>
      </c>
      <c r="D20" s="29" t="s">
        <v>356</v>
      </c>
      <c r="E20" s="30" t="s">
        <v>355</v>
      </c>
      <c r="F20" s="48">
        <v>70729.13</v>
      </c>
      <c r="G20" s="47">
        <v>70906.399999999994</v>
      </c>
      <c r="H20" s="47"/>
      <c r="I20" s="47">
        <v>3368.05</v>
      </c>
      <c r="J20" s="47"/>
      <c r="K20" s="47"/>
      <c r="L20" s="47"/>
      <c r="M20" s="47"/>
      <c r="N20" s="47"/>
      <c r="O20" s="47">
        <v>3545.32</v>
      </c>
      <c r="P20" s="47"/>
    </row>
    <row r="21" spans="1:16" ht="66" customHeight="1" x14ac:dyDescent="0.3">
      <c r="A21" s="26">
        <v>45237</v>
      </c>
      <c r="B21" s="27" t="s">
        <v>326</v>
      </c>
      <c r="C21" s="28" t="s">
        <v>13</v>
      </c>
      <c r="D21" s="29" t="s">
        <v>354</v>
      </c>
      <c r="E21" s="30" t="s">
        <v>353</v>
      </c>
      <c r="F21" s="48">
        <v>41887.019999999997</v>
      </c>
      <c r="G21" s="47">
        <v>41992</v>
      </c>
      <c r="H21" s="47"/>
      <c r="I21" s="47">
        <v>1994.62</v>
      </c>
      <c r="J21" s="47"/>
      <c r="K21" s="47"/>
      <c r="L21" s="47"/>
      <c r="M21" s="47"/>
      <c r="N21" s="47"/>
      <c r="O21" s="47">
        <v>2099.6</v>
      </c>
      <c r="P21" s="47"/>
    </row>
    <row r="22" spans="1:16" ht="66" customHeight="1" x14ac:dyDescent="0.3">
      <c r="A22" s="26">
        <v>45243</v>
      </c>
      <c r="B22" s="27" t="s">
        <v>326</v>
      </c>
      <c r="C22" s="28" t="s">
        <v>13</v>
      </c>
      <c r="D22" s="29" t="s">
        <v>352</v>
      </c>
      <c r="E22" s="30" t="s">
        <v>351</v>
      </c>
      <c r="F22" s="48">
        <v>9326.6299999999992</v>
      </c>
      <c r="G22" s="47">
        <v>9350</v>
      </c>
      <c r="H22" s="47"/>
      <c r="I22" s="47">
        <v>444.13</v>
      </c>
      <c r="J22" s="47"/>
      <c r="K22" s="47"/>
      <c r="L22" s="47"/>
      <c r="M22" s="47"/>
      <c r="N22" s="47"/>
      <c r="O22" s="47">
        <v>467.5</v>
      </c>
      <c r="P22" s="47"/>
    </row>
    <row r="23" spans="1:16" ht="66" customHeight="1" x14ac:dyDescent="0.3">
      <c r="A23" s="26">
        <v>45251</v>
      </c>
      <c r="B23" s="27" t="s">
        <v>326</v>
      </c>
      <c r="C23" s="28" t="s">
        <v>13</v>
      </c>
      <c r="D23" s="29" t="s">
        <v>350</v>
      </c>
      <c r="E23" s="30" t="s">
        <v>349</v>
      </c>
      <c r="F23" s="48">
        <v>2074.8000000000002</v>
      </c>
      <c r="G23" s="47">
        <v>2080</v>
      </c>
      <c r="H23" s="47"/>
      <c r="I23" s="47">
        <v>98.8</v>
      </c>
      <c r="J23" s="47"/>
      <c r="K23" s="47"/>
      <c r="L23" s="47"/>
      <c r="M23" s="47"/>
      <c r="N23" s="47"/>
      <c r="O23" s="47">
        <v>104</v>
      </c>
      <c r="P23" s="47"/>
    </row>
    <row r="24" spans="1:16" ht="66" customHeight="1" x14ac:dyDescent="0.3">
      <c r="A24" s="26">
        <v>45286</v>
      </c>
      <c r="B24" s="27" t="s">
        <v>326</v>
      </c>
      <c r="C24" s="28" t="s">
        <v>13</v>
      </c>
      <c r="D24" s="29" t="s">
        <v>348</v>
      </c>
      <c r="E24" s="30" t="s">
        <v>347</v>
      </c>
      <c r="F24" s="48">
        <v>222083.4</v>
      </c>
      <c r="G24" s="47">
        <v>222640</v>
      </c>
      <c r="H24" s="47"/>
      <c r="I24" s="47">
        <v>10575.4</v>
      </c>
      <c r="J24" s="47"/>
      <c r="K24" s="47"/>
      <c r="L24" s="47"/>
      <c r="M24" s="47"/>
      <c r="N24" s="47"/>
      <c r="O24" s="47"/>
      <c r="P24" s="47">
        <v>11132</v>
      </c>
    </row>
    <row r="25" spans="1:16" x14ac:dyDescent="0.3">
      <c r="A25" s="40"/>
      <c r="B25" s="34" t="s">
        <v>10</v>
      </c>
      <c r="C25" s="35" t="s">
        <v>9</v>
      </c>
      <c r="D25" s="36" t="s">
        <v>9</v>
      </c>
      <c r="E25" s="37" t="s">
        <v>9</v>
      </c>
      <c r="F25" s="46">
        <f>SUM(F14:F24)</f>
        <v>462506.64999999997</v>
      </c>
      <c r="G25" s="46">
        <f t="shared" ref="G25:O25" si="0">SUM(G14:G24)</f>
        <v>463665.8</v>
      </c>
      <c r="H25" s="46">
        <f t="shared" si="0"/>
        <v>0</v>
      </c>
      <c r="I25" s="46">
        <f t="shared" si="0"/>
        <v>22031.719999999998</v>
      </c>
      <c r="J25" s="46">
        <f t="shared" si="0"/>
        <v>0</v>
      </c>
      <c r="K25" s="46">
        <f t="shared" si="0"/>
        <v>0</v>
      </c>
      <c r="L25" s="46">
        <f t="shared" si="0"/>
        <v>0</v>
      </c>
      <c r="M25" s="46">
        <f t="shared" si="0"/>
        <v>1178.71</v>
      </c>
      <c r="N25" s="46">
        <f t="shared" si="0"/>
        <v>0</v>
      </c>
      <c r="O25" s="46">
        <f t="shared" si="0"/>
        <v>10880.16</v>
      </c>
      <c r="P25" s="46">
        <f>SUM(P14:P24)</f>
        <v>11132</v>
      </c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D3D8-38B3-492C-AEE0-596CD874D2F1}">
  <dimension ref="A1:P18"/>
  <sheetViews>
    <sheetView topLeftCell="E16" workbookViewId="0">
      <selection activeCell="R18" sqref="R18"/>
    </sheetView>
  </sheetViews>
  <sheetFormatPr defaultRowHeight="14.4" x14ac:dyDescent="0.3"/>
  <cols>
    <col min="1" max="1" width="21.109375" bestFit="1" customWidth="1"/>
    <col min="2" max="2" width="24" bestFit="1" customWidth="1"/>
    <col min="3" max="3" width="7.44140625" bestFit="1" customWidth="1"/>
    <col min="4" max="4" width="12.88671875" bestFit="1" customWidth="1"/>
    <col min="5" max="5" width="39.88671875" bestFit="1" customWidth="1"/>
    <col min="6" max="7" width="10.6640625" bestFit="1" customWidth="1"/>
    <col min="8" max="9" width="9.6640625" bestFit="1" customWidth="1"/>
    <col min="10" max="10" width="8.88671875" bestFit="1" customWidth="1"/>
    <col min="11" max="11" width="9" bestFit="1" customWidth="1"/>
    <col min="12" max="12" width="14.33203125" bestFit="1" customWidth="1"/>
    <col min="13" max="13" width="10.88671875" bestFit="1" customWidth="1"/>
    <col min="14" max="14" width="9" bestFit="1" customWidth="1"/>
    <col min="15" max="16" width="11.6640625" bestFit="1" customWidth="1"/>
  </cols>
  <sheetData>
    <row r="1" spans="1:16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6" x14ac:dyDescent="0.3">
      <c r="A7" s="115" t="s">
        <v>326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3">
      <c r="A12" s="116" t="s">
        <v>30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ht="63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335</v>
      </c>
      <c r="I13" s="16" t="s">
        <v>5</v>
      </c>
      <c r="J13" s="16" t="s">
        <v>47</v>
      </c>
      <c r="K13" s="16" t="s">
        <v>22</v>
      </c>
      <c r="L13" s="16" t="s">
        <v>334</v>
      </c>
      <c r="M13" s="16" t="s">
        <v>333</v>
      </c>
      <c r="N13" s="16" t="s">
        <v>48</v>
      </c>
      <c r="O13" s="16" t="s">
        <v>332</v>
      </c>
      <c r="P13" s="16" t="s">
        <v>331</v>
      </c>
    </row>
    <row r="14" spans="1:16" ht="63" customHeight="1" x14ac:dyDescent="0.3">
      <c r="A14" s="18">
        <v>45135</v>
      </c>
      <c r="B14" s="19" t="s">
        <v>326</v>
      </c>
      <c r="C14" s="20" t="s">
        <v>13</v>
      </c>
      <c r="D14" s="21" t="s">
        <v>380</v>
      </c>
      <c r="E14" s="22" t="s">
        <v>379</v>
      </c>
      <c r="F14" s="50">
        <v>4356.08</v>
      </c>
      <c r="G14" s="49">
        <v>4367</v>
      </c>
      <c r="H14" s="49"/>
      <c r="I14" s="49">
        <v>218.35</v>
      </c>
      <c r="J14" s="49"/>
      <c r="K14" s="49"/>
      <c r="L14" s="49">
        <v>229.27</v>
      </c>
      <c r="M14" s="49"/>
      <c r="N14" s="49"/>
      <c r="O14" s="49"/>
      <c r="P14" s="49"/>
    </row>
    <row r="15" spans="1:16" ht="63" customHeight="1" x14ac:dyDescent="0.3">
      <c r="A15" s="26">
        <v>45254</v>
      </c>
      <c r="B15" s="27" t="s">
        <v>326</v>
      </c>
      <c r="C15" s="28" t="s">
        <v>13</v>
      </c>
      <c r="D15" s="29" t="s">
        <v>378</v>
      </c>
      <c r="E15" s="30" t="s">
        <v>377</v>
      </c>
      <c r="F15" s="48">
        <v>1092.26</v>
      </c>
      <c r="G15" s="47">
        <v>1095</v>
      </c>
      <c r="H15" s="47"/>
      <c r="I15" s="47">
        <v>52.01</v>
      </c>
      <c r="J15" s="47"/>
      <c r="K15" s="47"/>
      <c r="L15" s="47">
        <v>54.75</v>
      </c>
      <c r="M15" s="47"/>
      <c r="N15" s="47"/>
      <c r="O15" s="47"/>
      <c r="P15" s="47"/>
    </row>
    <row r="16" spans="1:16" ht="63" customHeight="1" x14ac:dyDescent="0.3">
      <c r="A16" s="26">
        <v>45289</v>
      </c>
      <c r="B16" s="27" t="s">
        <v>326</v>
      </c>
      <c r="C16" s="28" t="s">
        <v>13</v>
      </c>
      <c r="D16" s="29" t="s">
        <v>376</v>
      </c>
      <c r="E16" s="30" t="s">
        <v>375</v>
      </c>
      <c r="F16" s="48">
        <v>10643.33</v>
      </c>
      <c r="G16" s="47">
        <v>10670</v>
      </c>
      <c r="H16" s="47"/>
      <c r="I16" s="47">
        <v>506.83</v>
      </c>
      <c r="J16" s="47"/>
      <c r="K16" s="47"/>
      <c r="L16" s="47">
        <v>533.5</v>
      </c>
      <c r="M16" s="47"/>
      <c r="N16" s="47"/>
      <c r="O16" s="47"/>
      <c r="P16" s="47"/>
    </row>
    <row r="17" spans="1:16" ht="63" customHeight="1" x14ac:dyDescent="0.3">
      <c r="A17" s="26">
        <v>45291</v>
      </c>
      <c r="B17" s="27" t="s">
        <v>326</v>
      </c>
      <c r="C17" s="28" t="s">
        <v>13</v>
      </c>
      <c r="D17" s="29" t="s">
        <v>374</v>
      </c>
      <c r="E17" s="30" t="s">
        <v>373</v>
      </c>
      <c r="F17" s="48">
        <v>25365.43</v>
      </c>
      <c r="G17" s="47">
        <v>25429</v>
      </c>
      <c r="H17" s="47"/>
      <c r="I17" s="47">
        <v>1207.8800000000001</v>
      </c>
      <c r="J17" s="47"/>
      <c r="K17" s="47"/>
      <c r="L17" s="47">
        <v>1271.45</v>
      </c>
      <c r="M17" s="47"/>
      <c r="N17" s="47"/>
      <c r="O17" s="47"/>
      <c r="P17" s="47"/>
    </row>
    <row r="18" spans="1:16" x14ac:dyDescent="0.3">
      <c r="A18" s="40"/>
      <c r="B18" s="34" t="s">
        <v>10</v>
      </c>
      <c r="C18" s="35" t="s">
        <v>9</v>
      </c>
      <c r="D18" s="36" t="s">
        <v>9</v>
      </c>
      <c r="E18" s="37" t="s">
        <v>9</v>
      </c>
      <c r="F18" s="46">
        <v>41457.1</v>
      </c>
      <c r="G18" s="45">
        <v>41561</v>
      </c>
      <c r="H18" s="45"/>
      <c r="I18" s="45">
        <v>1985.07</v>
      </c>
      <c r="J18" s="45"/>
      <c r="K18" s="45"/>
      <c r="L18" s="45">
        <v>2088.9699999999998</v>
      </c>
      <c r="M18" s="45"/>
      <c r="N18" s="45"/>
      <c r="O18" s="45"/>
      <c r="P18" s="45"/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7929-E444-4C3B-9B11-EF2A8DA1BE32}">
  <dimension ref="A1:I20"/>
  <sheetViews>
    <sheetView workbookViewId="0">
      <selection activeCell="E20" sqref="E20"/>
    </sheetView>
  </sheetViews>
  <sheetFormatPr defaultRowHeight="14.4" x14ac:dyDescent="0.3"/>
  <cols>
    <col min="1" max="1" width="21.109375" bestFit="1" customWidth="1"/>
    <col min="2" max="2" width="50.44140625" bestFit="1" customWidth="1"/>
    <col min="3" max="3" width="7.44140625" bestFit="1" customWidth="1"/>
    <col min="4" max="4" width="12.88671875" bestFit="1" customWidth="1"/>
    <col min="5" max="5" width="66.109375" customWidth="1"/>
    <col min="6" max="6" width="11" bestFit="1" customWidth="1"/>
    <col min="7" max="7" width="11.5546875" bestFit="1" customWidth="1"/>
    <col min="8" max="8" width="9" bestFit="1" customWidth="1"/>
    <col min="9" max="9" width="11" bestFit="1" customWidth="1"/>
  </cols>
  <sheetData>
    <row r="1" spans="1:9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</row>
    <row r="2" spans="1:9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</row>
    <row r="3" spans="1:9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</row>
    <row r="4" spans="1:9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</row>
    <row r="5" spans="1:9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</row>
    <row r="6" spans="1:9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</row>
    <row r="7" spans="1:9" ht="15.6" x14ac:dyDescent="0.3">
      <c r="A7" s="115" t="s">
        <v>383</v>
      </c>
      <c r="B7" s="115"/>
      <c r="C7" s="115"/>
      <c r="D7" s="14"/>
      <c r="E7" s="14"/>
      <c r="F7" s="14"/>
      <c r="G7" s="14"/>
      <c r="H7" s="14"/>
      <c r="I7" s="14"/>
    </row>
    <row r="8" spans="1:9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</row>
    <row r="9" spans="1:9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</row>
    <row r="10" spans="1:9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</row>
    <row r="11" spans="1:9" x14ac:dyDescent="0.3">
      <c r="A11" s="116" t="s">
        <v>394</v>
      </c>
      <c r="B11" s="116"/>
      <c r="C11" s="116"/>
      <c r="D11" s="14"/>
      <c r="E11" s="14"/>
      <c r="F11" s="14"/>
      <c r="G11" s="14"/>
      <c r="H11" s="14"/>
      <c r="I11" s="14"/>
    </row>
    <row r="12" spans="1:9" x14ac:dyDescent="0.3">
      <c r="A12" s="116" t="s">
        <v>30</v>
      </c>
      <c r="B12" s="116"/>
      <c r="C12" s="116"/>
      <c r="D12" s="14"/>
      <c r="E12" s="14"/>
      <c r="F12" s="14"/>
      <c r="G12" s="14"/>
      <c r="H12" s="14"/>
      <c r="I12" s="14"/>
    </row>
    <row r="13" spans="1:9" ht="34.200000000000003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5</v>
      </c>
      <c r="I13" s="16" t="s">
        <v>22</v>
      </c>
    </row>
    <row r="14" spans="1:9" ht="22.8" x14ac:dyDescent="0.3">
      <c r="A14" s="18">
        <v>45140</v>
      </c>
      <c r="B14" s="19" t="s">
        <v>383</v>
      </c>
      <c r="C14" s="20" t="s">
        <v>13</v>
      </c>
      <c r="D14" s="21" t="s">
        <v>393</v>
      </c>
      <c r="E14" s="22" t="s">
        <v>392</v>
      </c>
      <c r="F14" s="50">
        <v>17370.11</v>
      </c>
      <c r="G14" s="49">
        <v>16542.96</v>
      </c>
      <c r="H14" s="49">
        <v>827.15</v>
      </c>
      <c r="I14" s="49"/>
    </row>
    <row r="15" spans="1:9" ht="22.8" x14ac:dyDescent="0.3">
      <c r="A15" s="26">
        <v>45175</v>
      </c>
      <c r="B15" s="27" t="s">
        <v>383</v>
      </c>
      <c r="C15" s="28" t="s">
        <v>13</v>
      </c>
      <c r="D15" s="29" t="s">
        <v>391</v>
      </c>
      <c r="E15" s="30" t="s">
        <v>390</v>
      </c>
      <c r="F15" s="48">
        <v>27427.02</v>
      </c>
      <c r="G15" s="47">
        <v>26120.97</v>
      </c>
      <c r="H15" s="47">
        <v>1306.05</v>
      </c>
      <c r="I15" s="47"/>
    </row>
    <row r="16" spans="1:9" ht="22.8" x14ac:dyDescent="0.3">
      <c r="A16" s="26">
        <v>45175</v>
      </c>
      <c r="B16" s="27" t="s">
        <v>383</v>
      </c>
      <c r="C16" s="28" t="s">
        <v>13</v>
      </c>
      <c r="D16" s="29" t="s">
        <v>389</v>
      </c>
      <c r="E16" s="30" t="s">
        <v>388</v>
      </c>
      <c r="F16" s="48">
        <v>27580.98</v>
      </c>
      <c r="G16" s="47">
        <v>26267.599999999999</v>
      </c>
      <c r="H16" s="47">
        <v>1313.38</v>
      </c>
      <c r="I16" s="47"/>
    </row>
    <row r="17" spans="1:9" ht="34.200000000000003" x14ac:dyDescent="0.3">
      <c r="A17" s="26">
        <v>45205</v>
      </c>
      <c r="B17" s="27" t="s">
        <v>383</v>
      </c>
      <c r="C17" s="28" t="s">
        <v>13</v>
      </c>
      <c r="D17" s="29" t="s">
        <v>387</v>
      </c>
      <c r="E17" s="30" t="s">
        <v>386</v>
      </c>
      <c r="F17" s="48">
        <v>28505.19</v>
      </c>
      <c r="G17" s="47">
        <v>27147.8</v>
      </c>
      <c r="H17" s="47">
        <v>1357.39</v>
      </c>
      <c r="I17" s="47"/>
    </row>
    <row r="18" spans="1:9" ht="34.200000000000003" x14ac:dyDescent="0.3">
      <c r="A18" s="26">
        <v>45243</v>
      </c>
      <c r="B18" s="27" t="s">
        <v>383</v>
      </c>
      <c r="C18" s="28" t="s">
        <v>13</v>
      </c>
      <c r="D18" s="29" t="s">
        <v>385</v>
      </c>
      <c r="E18" s="30" t="s">
        <v>384</v>
      </c>
      <c r="F18" s="48">
        <v>28830.43</v>
      </c>
      <c r="G18" s="47">
        <v>27457.55</v>
      </c>
      <c r="H18" s="47">
        <v>1372.88</v>
      </c>
      <c r="I18" s="47"/>
    </row>
    <row r="19" spans="1:9" ht="45.6" x14ac:dyDescent="0.3">
      <c r="A19" s="26">
        <v>45274</v>
      </c>
      <c r="B19" s="27" t="s">
        <v>383</v>
      </c>
      <c r="C19" s="28" t="s">
        <v>13</v>
      </c>
      <c r="D19" s="29" t="s">
        <v>382</v>
      </c>
      <c r="E19" s="30" t="s">
        <v>381</v>
      </c>
      <c r="F19" s="48">
        <v>27737.439999999999</v>
      </c>
      <c r="G19" s="47">
        <v>26416.61</v>
      </c>
      <c r="H19" s="47">
        <v>1320.83</v>
      </c>
      <c r="I19" s="47"/>
    </row>
    <row r="20" spans="1:9" ht="27" customHeight="1" x14ac:dyDescent="0.3">
      <c r="A20" s="40"/>
      <c r="B20" s="34" t="s">
        <v>10</v>
      </c>
      <c r="C20" s="35" t="s">
        <v>9</v>
      </c>
      <c r="D20" s="36" t="s">
        <v>9</v>
      </c>
      <c r="E20" s="37" t="s">
        <v>9</v>
      </c>
      <c r="F20" s="46">
        <f>SUM(F14:F19)</f>
        <v>157451.17000000001</v>
      </c>
      <c r="G20" s="46">
        <f t="shared" ref="G20:I20" si="0">SUM(G14:G19)</f>
        <v>149953.49</v>
      </c>
      <c r="H20" s="46">
        <f t="shared" si="0"/>
        <v>7497.68</v>
      </c>
      <c r="I20" s="46">
        <f t="shared" si="0"/>
        <v>0</v>
      </c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1DEA-2FBA-4F37-9A29-EF098BAD50AA}">
  <dimension ref="A1:I16"/>
  <sheetViews>
    <sheetView zoomScale="85" zoomScaleNormal="85" workbookViewId="0">
      <selection activeCell="G14" sqref="G14:G15"/>
    </sheetView>
  </sheetViews>
  <sheetFormatPr defaultRowHeight="14.4" x14ac:dyDescent="0.3"/>
  <cols>
    <col min="1" max="1" width="21.109375" bestFit="1" customWidth="1"/>
    <col min="2" max="2" width="46.33203125" customWidth="1"/>
    <col min="3" max="3" width="11.109375" customWidth="1"/>
    <col min="4" max="4" width="21.5546875" customWidth="1"/>
    <col min="5" max="5" width="24.33203125" customWidth="1"/>
    <col min="6" max="7" width="19.44140625" customWidth="1"/>
    <col min="8" max="8" width="15.44140625" customWidth="1"/>
  </cols>
  <sheetData>
    <row r="1" spans="1:9" ht="18" x14ac:dyDescent="0.3">
      <c r="A1" s="118" t="s">
        <v>42</v>
      </c>
      <c r="B1" s="118"/>
      <c r="C1" s="118"/>
      <c r="D1" s="60"/>
      <c r="E1" s="60"/>
      <c r="F1" s="60"/>
      <c r="G1" s="60"/>
      <c r="H1" s="60"/>
      <c r="I1" s="60"/>
    </row>
    <row r="2" spans="1:9" ht="18" x14ac:dyDescent="0.3">
      <c r="A2" s="119" t="s">
        <v>41</v>
      </c>
      <c r="B2" s="119"/>
      <c r="C2" s="119"/>
      <c r="D2" s="60"/>
      <c r="E2" s="60"/>
      <c r="F2" s="60"/>
      <c r="G2" s="60"/>
      <c r="H2" s="60"/>
      <c r="I2" s="60"/>
    </row>
    <row r="3" spans="1:9" ht="18" x14ac:dyDescent="0.3">
      <c r="A3" s="119" t="s">
        <v>40</v>
      </c>
      <c r="B3" s="119"/>
      <c r="C3" s="119"/>
      <c r="D3" s="60"/>
      <c r="E3" s="60"/>
      <c r="F3" s="60"/>
      <c r="G3" s="60"/>
      <c r="H3" s="60"/>
      <c r="I3" s="60"/>
    </row>
    <row r="4" spans="1:9" ht="18" x14ac:dyDescent="0.3">
      <c r="A4" s="119" t="s">
        <v>39</v>
      </c>
      <c r="B4" s="119"/>
      <c r="C4" s="119"/>
      <c r="D4" s="60"/>
      <c r="E4" s="60"/>
      <c r="F4" s="60"/>
      <c r="G4" s="60"/>
      <c r="H4" s="60"/>
      <c r="I4" s="60"/>
    </row>
    <row r="5" spans="1:9" ht="18" x14ac:dyDescent="0.3">
      <c r="A5" s="120" t="s">
        <v>38</v>
      </c>
      <c r="B5" s="120"/>
      <c r="C5" s="120"/>
      <c r="D5" s="60"/>
      <c r="E5" s="60"/>
      <c r="F5" s="60"/>
      <c r="G5" s="60"/>
      <c r="H5" s="60"/>
      <c r="I5" s="60"/>
    </row>
    <row r="6" spans="1:9" ht="18" x14ac:dyDescent="0.3">
      <c r="A6" s="61" t="s">
        <v>37</v>
      </c>
      <c r="B6" s="60"/>
      <c r="C6" s="60"/>
      <c r="D6" s="60"/>
      <c r="E6" s="60"/>
      <c r="F6" s="60"/>
      <c r="G6" s="60"/>
      <c r="H6" s="60"/>
      <c r="I6" s="60"/>
    </row>
    <row r="7" spans="1:9" ht="18" x14ac:dyDescent="0.3">
      <c r="A7" s="118" t="s">
        <v>559</v>
      </c>
      <c r="B7" s="118"/>
      <c r="C7" s="118"/>
      <c r="D7" s="60"/>
      <c r="E7" s="60"/>
      <c r="F7" s="60"/>
      <c r="G7" s="60"/>
      <c r="H7" s="60"/>
      <c r="I7" s="60"/>
    </row>
    <row r="8" spans="1:9" ht="18" x14ac:dyDescent="0.3">
      <c r="A8" s="119" t="s">
        <v>36</v>
      </c>
      <c r="B8" s="119"/>
      <c r="C8" s="119"/>
      <c r="D8" s="60"/>
      <c r="E8" s="60"/>
      <c r="F8" s="60"/>
      <c r="G8" s="60"/>
      <c r="H8" s="60"/>
      <c r="I8" s="60"/>
    </row>
    <row r="9" spans="1:9" ht="18" x14ac:dyDescent="0.3">
      <c r="A9" s="119" t="s">
        <v>9</v>
      </c>
      <c r="B9" s="119"/>
      <c r="C9" s="119"/>
      <c r="D9" s="60"/>
      <c r="E9" s="60"/>
      <c r="F9" s="60"/>
      <c r="G9" s="60"/>
      <c r="H9" s="60"/>
      <c r="I9" s="60"/>
    </row>
    <row r="10" spans="1:9" ht="18" x14ac:dyDescent="0.3">
      <c r="A10" s="119" t="s">
        <v>9</v>
      </c>
      <c r="B10" s="119"/>
      <c r="C10" s="119"/>
      <c r="D10" s="60"/>
      <c r="E10" s="60"/>
      <c r="F10" s="60"/>
      <c r="G10" s="60"/>
      <c r="H10" s="60"/>
      <c r="I10" s="60"/>
    </row>
    <row r="11" spans="1:9" ht="18" x14ac:dyDescent="0.3">
      <c r="A11" s="119" t="s">
        <v>560</v>
      </c>
      <c r="B11" s="119"/>
      <c r="C11" s="119"/>
      <c r="D11" s="60"/>
      <c r="E11" s="60"/>
      <c r="F11" s="60"/>
      <c r="G11" s="60"/>
      <c r="H11" s="60"/>
      <c r="I11" s="60"/>
    </row>
    <row r="12" spans="1:9" ht="18" x14ac:dyDescent="0.3">
      <c r="A12" s="119" t="s">
        <v>302</v>
      </c>
      <c r="B12" s="119"/>
      <c r="C12" s="119"/>
      <c r="D12" s="60"/>
      <c r="E12" s="60"/>
      <c r="F12" s="60"/>
      <c r="G12" s="60"/>
      <c r="H12" s="60"/>
      <c r="I12" s="60"/>
    </row>
    <row r="13" spans="1:9" ht="90" x14ac:dyDescent="0.3">
      <c r="A13" s="62" t="s">
        <v>29</v>
      </c>
      <c r="B13" s="63" t="s">
        <v>28</v>
      </c>
      <c r="C13" s="62" t="s">
        <v>27</v>
      </c>
      <c r="D13" s="62" t="s">
        <v>26</v>
      </c>
      <c r="E13" s="62" t="s">
        <v>25</v>
      </c>
      <c r="F13" s="62" t="s">
        <v>24</v>
      </c>
      <c r="G13" s="62" t="s">
        <v>23</v>
      </c>
      <c r="H13" s="62" t="s">
        <v>5</v>
      </c>
      <c r="I13" s="62" t="s">
        <v>22</v>
      </c>
    </row>
    <row r="14" spans="1:9" ht="72" customHeight="1" x14ac:dyDescent="0.3">
      <c r="A14" s="64">
        <v>45057</v>
      </c>
      <c r="B14" s="65" t="s">
        <v>559</v>
      </c>
      <c r="C14" s="66" t="s">
        <v>13</v>
      </c>
      <c r="D14" s="67" t="s">
        <v>561</v>
      </c>
      <c r="E14" s="68" t="s">
        <v>562</v>
      </c>
      <c r="F14" s="69">
        <v>76387.5</v>
      </c>
      <c r="G14" s="70">
        <v>72750</v>
      </c>
      <c r="H14" s="70">
        <v>3637.5</v>
      </c>
      <c r="I14" s="71"/>
    </row>
    <row r="15" spans="1:9" ht="72" customHeight="1" x14ac:dyDescent="0.3">
      <c r="A15" s="72">
        <v>45160</v>
      </c>
      <c r="B15" s="73" t="s">
        <v>559</v>
      </c>
      <c r="C15" s="74" t="s">
        <v>13</v>
      </c>
      <c r="D15" s="75" t="s">
        <v>563</v>
      </c>
      <c r="E15" s="76" t="s">
        <v>564</v>
      </c>
      <c r="F15" s="77">
        <v>203700</v>
      </c>
      <c r="G15" s="78">
        <v>194000</v>
      </c>
      <c r="H15" s="78">
        <v>9700</v>
      </c>
      <c r="I15" s="79"/>
    </row>
    <row r="16" spans="1:9" ht="18" x14ac:dyDescent="0.3">
      <c r="A16" s="80"/>
      <c r="B16" s="81" t="s">
        <v>10</v>
      </c>
      <c r="C16" s="82" t="s">
        <v>9</v>
      </c>
      <c r="D16" s="83" t="s">
        <v>9</v>
      </c>
      <c r="E16" s="84" t="s">
        <v>9</v>
      </c>
      <c r="F16" s="85">
        <f>SUM(F14:F15)</f>
        <v>280087.5</v>
      </c>
      <c r="G16" s="86">
        <f>SUM(G14:G15)</f>
        <v>266750</v>
      </c>
      <c r="H16" s="86">
        <f>SUM(H14:H15)</f>
        <v>13337.5</v>
      </c>
      <c r="I16" s="87"/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E8C8-CA00-4103-95FC-E5A720021B81}">
  <dimension ref="A1:O17"/>
  <sheetViews>
    <sheetView topLeftCell="A16" workbookViewId="0">
      <selection activeCell="E16" sqref="E16"/>
    </sheetView>
  </sheetViews>
  <sheetFormatPr defaultRowHeight="14.4" x14ac:dyDescent="0.3"/>
  <cols>
    <col min="1" max="1" width="21.109375" bestFit="1" customWidth="1"/>
    <col min="2" max="2" width="48.44140625" bestFit="1" customWidth="1"/>
    <col min="3" max="3" width="7.44140625" bestFit="1" customWidth="1"/>
    <col min="4" max="4" width="12.88671875" bestFit="1" customWidth="1"/>
    <col min="5" max="5" width="16.109375" bestFit="1" customWidth="1"/>
    <col min="6" max="6" width="11.6640625" bestFit="1" customWidth="1"/>
    <col min="7" max="7" width="9" bestFit="1" customWidth="1"/>
    <col min="8" max="8" width="11.6640625" bestFit="1" customWidth="1"/>
    <col min="9" max="9" width="10.6640625" bestFit="1" customWidth="1"/>
    <col min="11" max="11" width="8.88671875" bestFit="1" customWidth="1"/>
    <col min="12" max="12" width="9" bestFit="1" customWidth="1"/>
    <col min="13" max="13" width="8.5546875" bestFit="1" customWidth="1"/>
    <col min="15" max="15" width="8.6640625" bestFit="1" customWidth="1"/>
  </cols>
  <sheetData>
    <row r="1" spans="1:15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15.6" x14ac:dyDescent="0.3">
      <c r="A7" s="115" t="s">
        <v>43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116" t="s">
        <v>44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116" t="s">
        <v>32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116" t="s">
        <v>39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116" t="s">
        <v>9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3">
      <c r="A13" s="116" t="s">
        <v>45</v>
      </c>
      <c r="B13" s="116"/>
      <c r="C13" s="116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3">
      <c r="A14" s="116" t="s">
        <v>30</v>
      </c>
      <c r="B14" s="116"/>
      <c r="C14" s="11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91.2" x14ac:dyDescent="0.3">
      <c r="A15" s="16" t="s">
        <v>29</v>
      </c>
      <c r="B15" s="17" t="s">
        <v>28</v>
      </c>
      <c r="C15" s="16" t="s">
        <v>27</v>
      </c>
      <c r="D15" s="16" t="s">
        <v>26</v>
      </c>
      <c r="E15" s="16" t="s">
        <v>25</v>
      </c>
      <c r="F15" s="16" t="s">
        <v>24</v>
      </c>
      <c r="G15" s="16" t="s">
        <v>22</v>
      </c>
      <c r="H15" s="16" t="s">
        <v>23</v>
      </c>
      <c r="I15" s="16" t="s">
        <v>5</v>
      </c>
      <c r="J15" s="16" t="s">
        <v>46</v>
      </c>
      <c r="K15" s="16" t="s">
        <v>47</v>
      </c>
      <c r="L15" s="16" t="s">
        <v>48</v>
      </c>
      <c r="M15" s="16" t="s">
        <v>49</v>
      </c>
      <c r="N15" s="16" t="s">
        <v>50</v>
      </c>
      <c r="O15" s="16" t="s">
        <v>51</v>
      </c>
    </row>
    <row r="16" spans="1:15" ht="55.5" customHeight="1" x14ac:dyDescent="0.3">
      <c r="A16" s="18">
        <v>45253</v>
      </c>
      <c r="B16" s="19" t="s">
        <v>43</v>
      </c>
      <c r="C16" s="20" t="s">
        <v>13</v>
      </c>
      <c r="D16" s="21" t="s">
        <v>395</v>
      </c>
      <c r="E16" s="22" t="s">
        <v>396</v>
      </c>
      <c r="F16" s="50">
        <v>233843.33</v>
      </c>
      <c r="G16" s="49"/>
      <c r="H16" s="49">
        <v>222707.93</v>
      </c>
      <c r="I16" s="49">
        <v>11135.4</v>
      </c>
      <c r="J16" s="25"/>
      <c r="K16" s="25"/>
      <c r="L16" s="25"/>
      <c r="M16" s="25"/>
      <c r="N16" s="25"/>
      <c r="O16" s="25"/>
    </row>
    <row r="17" spans="1:15" x14ac:dyDescent="0.3">
      <c r="A17" s="40"/>
      <c r="B17" s="34" t="s">
        <v>10</v>
      </c>
      <c r="C17" s="35" t="s">
        <v>9</v>
      </c>
      <c r="D17" s="36" t="s">
        <v>9</v>
      </c>
      <c r="E17" s="37" t="s">
        <v>9</v>
      </c>
      <c r="F17" s="46">
        <v>233843.33</v>
      </c>
      <c r="G17" s="45"/>
      <c r="H17" s="45">
        <v>222707.93</v>
      </c>
      <c r="I17" s="45">
        <v>11135.4</v>
      </c>
      <c r="J17" s="41"/>
      <c r="K17" s="41"/>
      <c r="L17" s="41"/>
      <c r="M17" s="41"/>
      <c r="N17" s="41"/>
      <c r="O17" s="41"/>
    </row>
  </sheetData>
  <mergeCells count="13">
    <mergeCell ref="A14:C14"/>
    <mergeCell ref="A8:C8"/>
    <mergeCell ref="A9:C9"/>
    <mergeCell ref="A10:C10"/>
    <mergeCell ref="A11:C11"/>
    <mergeCell ref="A12:C12"/>
    <mergeCell ref="A13:C13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A3A1-5193-4E4B-8941-6BF5B50ED0E8}">
  <dimension ref="A1:P16"/>
  <sheetViews>
    <sheetView topLeftCell="A13" workbookViewId="0">
      <selection activeCell="G16" sqref="G16:I16"/>
    </sheetView>
  </sheetViews>
  <sheetFormatPr defaultRowHeight="14.4" x14ac:dyDescent="0.3"/>
  <cols>
    <col min="1" max="1" width="21.109375" bestFit="1" customWidth="1"/>
    <col min="2" max="2" width="24" bestFit="1" customWidth="1"/>
    <col min="3" max="3" width="7.44140625" bestFit="1" customWidth="1"/>
    <col min="4" max="4" width="12.88671875" bestFit="1" customWidth="1"/>
    <col min="5" max="5" width="20.109375" bestFit="1" customWidth="1"/>
    <col min="6" max="7" width="10.6640625" bestFit="1" customWidth="1"/>
    <col min="8" max="8" width="11.6640625" bestFit="1" customWidth="1"/>
    <col min="9" max="9" width="9.6640625" bestFit="1" customWidth="1"/>
    <col min="10" max="10" width="8.88671875" bestFit="1" customWidth="1"/>
    <col min="11" max="11" width="9" bestFit="1" customWidth="1"/>
    <col min="12" max="12" width="14.88671875" bestFit="1" customWidth="1"/>
    <col min="13" max="13" width="11.6640625" bestFit="1" customWidth="1"/>
    <col min="14" max="14" width="10.6640625" bestFit="1" customWidth="1"/>
    <col min="15" max="15" width="12.44140625" bestFit="1" customWidth="1"/>
    <col min="16" max="16" width="13.109375" bestFit="1" customWidth="1"/>
  </cols>
  <sheetData>
    <row r="1" spans="1:16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6" x14ac:dyDescent="0.3">
      <c r="A7" s="115" t="s">
        <v>326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3">
      <c r="A12" s="116" t="s">
        <v>30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ht="52.5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335</v>
      </c>
      <c r="I13" s="16" t="s">
        <v>5</v>
      </c>
      <c r="J13" s="16" t="s">
        <v>47</v>
      </c>
      <c r="K13" s="16" t="s">
        <v>22</v>
      </c>
      <c r="L13" s="16" t="s">
        <v>334</v>
      </c>
      <c r="M13" s="16" t="s">
        <v>333</v>
      </c>
      <c r="N13" s="16" t="s">
        <v>48</v>
      </c>
      <c r="O13" s="16" t="s">
        <v>332</v>
      </c>
      <c r="P13" s="16" t="s">
        <v>331</v>
      </c>
    </row>
    <row r="14" spans="1:16" ht="45.75" customHeight="1" x14ac:dyDescent="0.3">
      <c r="A14" s="18">
        <v>45166</v>
      </c>
      <c r="B14" s="19" t="s">
        <v>326</v>
      </c>
      <c r="C14" s="20" t="s">
        <v>13</v>
      </c>
      <c r="D14" s="21" t="s">
        <v>400</v>
      </c>
      <c r="E14" s="22" t="s">
        <v>399</v>
      </c>
      <c r="F14" s="50">
        <v>93951.9</v>
      </c>
      <c r="G14" s="49">
        <v>89478</v>
      </c>
      <c r="H14" s="49"/>
      <c r="I14" s="49">
        <v>4473.8999999999996</v>
      </c>
      <c r="J14" s="49"/>
      <c r="K14" s="49"/>
      <c r="L14" s="49"/>
      <c r="M14" s="49"/>
      <c r="N14" s="49"/>
      <c r="O14" s="25"/>
      <c r="P14" s="25"/>
    </row>
    <row r="15" spans="1:16" ht="45.75" customHeight="1" x14ac:dyDescent="0.3">
      <c r="A15" s="26">
        <v>45196</v>
      </c>
      <c r="B15" s="27" t="s">
        <v>326</v>
      </c>
      <c r="C15" s="28" t="s">
        <v>20</v>
      </c>
      <c r="D15" s="29" t="s">
        <v>398</v>
      </c>
      <c r="E15" s="30" t="s">
        <v>397</v>
      </c>
      <c r="F15" s="48">
        <v>93951.9</v>
      </c>
      <c r="G15" s="47"/>
      <c r="H15" s="47"/>
      <c r="I15" s="47"/>
      <c r="J15" s="47"/>
      <c r="K15" s="47"/>
      <c r="L15" s="47"/>
      <c r="M15" s="47"/>
      <c r="N15" s="47">
        <v>93951.9</v>
      </c>
      <c r="O15" s="33"/>
      <c r="P15" s="33"/>
    </row>
    <row r="16" spans="1:16" ht="17.25" customHeight="1" x14ac:dyDescent="0.3">
      <c r="A16" s="40"/>
      <c r="B16" s="34" t="s">
        <v>10</v>
      </c>
      <c r="C16" s="35" t="s">
        <v>9</v>
      </c>
      <c r="D16" s="36" t="s">
        <v>9</v>
      </c>
      <c r="E16" s="37" t="s">
        <v>9</v>
      </c>
      <c r="F16" s="46"/>
      <c r="G16" s="45">
        <v>89478</v>
      </c>
      <c r="H16" s="45"/>
      <c r="I16" s="45">
        <v>4473.8999999999996</v>
      </c>
      <c r="J16" s="45"/>
      <c r="K16" s="45"/>
      <c r="L16" s="45"/>
      <c r="M16" s="45"/>
      <c r="N16" s="45">
        <v>93951.9</v>
      </c>
      <c r="O16" s="41"/>
      <c r="P16" s="41"/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55A4-4180-41F0-970F-440B1EC7F58D}">
  <dimension ref="A1:K17"/>
  <sheetViews>
    <sheetView topLeftCell="A14" workbookViewId="0">
      <selection activeCell="A17" sqref="A17"/>
    </sheetView>
  </sheetViews>
  <sheetFormatPr defaultRowHeight="14.4" x14ac:dyDescent="0.3"/>
  <cols>
    <col min="1" max="1" width="21.109375" bestFit="1" customWidth="1"/>
    <col min="2" max="2" width="39.33203125" bestFit="1" customWidth="1"/>
    <col min="3" max="3" width="7.44140625" bestFit="1" customWidth="1"/>
    <col min="4" max="4" width="12.88671875" bestFit="1" customWidth="1"/>
    <col min="5" max="5" width="18" bestFit="1" customWidth="1"/>
    <col min="6" max="7" width="11.6640625" bestFit="1" customWidth="1"/>
    <col min="8" max="9" width="10.6640625" bestFit="1" customWidth="1"/>
    <col min="10" max="10" width="11.44140625" bestFit="1" customWidth="1"/>
    <col min="11" max="11" width="9" bestFit="1" customWidth="1"/>
  </cols>
  <sheetData>
    <row r="1" spans="1:11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</row>
    <row r="2" spans="1:11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</row>
    <row r="3" spans="1:11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</row>
    <row r="4" spans="1:11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</row>
    <row r="5" spans="1:11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</row>
    <row r="6" spans="1:11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5.6" x14ac:dyDescent="0.3">
      <c r="A7" s="115" t="s">
        <v>289</v>
      </c>
      <c r="B7" s="115"/>
      <c r="C7" s="115"/>
      <c r="D7" s="14"/>
      <c r="E7" s="14"/>
      <c r="F7" s="14"/>
      <c r="G7" s="14"/>
      <c r="H7" s="14"/>
      <c r="I7" s="14"/>
      <c r="J7" s="14"/>
      <c r="K7" s="14"/>
    </row>
    <row r="8" spans="1:11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</row>
    <row r="9" spans="1:11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</row>
    <row r="10" spans="1:11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</row>
    <row r="11" spans="1:11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</row>
    <row r="12" spans="1:11" x14ac:dyDescent="0.3">
      <c r="A12" s="116" t="s">
        <v>30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</row>
    <row r="13" spans="1:11" ht="39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5</v>
      </c>
      <c r="I13" s="16" t="s">
        <v>22</v>
      </c>
      <c r="J13" s="16" t="s">
        <v>288</v>
      </c>
      <c r="K13" s="16" t="s">
        <v>48</v>
      </c>
    </row>
    <row r="14" spans="1:11" ht="39" customHeight="1" x14ac:dyDescent="0.3">
      <c r="A14" s="26">
        <v>45209</v>
      </c>
      <c r="B14" s="27" t="s">
        <v>249</v>
      </c>
      <c r="C14" s="28" t="s">
        <v>13</v>
      </c>
      <c r="D14" s="29" t="s">
        <v>406</v>
      </c>
      <c r="E14" s="30" t="s">
        <v>405</v>
      </c>
      <c r="F14" s="48">
        <v>129628.16</v>
      </c>
      <c r="G14" s="47">
        <v>129953.04</v>
      </c>
      <c r="H14" s="47">
        <v>6172.77</v>
      </c>
      <c r="I14" s="47"/>
      <c r="J14" s="47">
        <v>6497.65</v>
      </c>
      <c r="K14" s="47"/>
    </row>
    <row r="15" spans="1:11" ht="39" customHeight="1" x14ac:dyDescent="0.3">
      <c r="A15" s="26">
        <v>45221</v>
      </c>
      <c r="B15" s="27" t="s">
        <v>249</v>
      </c>
      <c r="C15" s="28" t="s">
        <v>13</v>
      </c>
      <c r="D15" s="29" t="s">
        <v>404</v>
      </c>
      <c r="E15" s="30" t="s">
        <v>403</v>
      </c>
      <c r="F15" s="48">
        <v>190712.74</v>
      </c>
      <c r="G15" s="47">
        <v>191190.72</v>
      </c>
      <c r="H15" s="47">
        <v>9081.56</v>
      </c>
      <c r="I15" s="47"/>
      <c r="J15" s="47">
        <v>9559.5400000000009</v>
      </c>
      <c r="K15" s="47"/>
    </row>
    <row r="16" spans="1:11" ht="39" customHeight="1" x14ac:dyDescent="0.3">
      <c r="A16" s="26">
        <v>45273</v>
      </c>
      <c r="B16" s="27" t="s">
        <v>249</v>
      </c>
      <c r="C16" s="28" t="s">
        <v>13</v>
      </c>
      <c r="D16" s="29" t="s">
        <v>402</v>
      </c>
      <c r="E16" s="30" t="s">
        <v>401</v>
      </c>
      <c r="F16" s="48">
        <v>198910.76</v>
      </c>
      <c r="G16" s="47">
        <v>199409.28</v>
      </c>
      <c r="H16" s="47">
        <v>9471.94</v>
      </c>
      <c r="I16" s="47"/>
      <c r="J16" s="47">
        <v>9970.4599999999991</v>
      </c>
      <c r="K16" s="47"/>
    </row>
    <row r="17" spans="1:11" x14ac:dyDescent="0.3">
      <c r="A17" s="40"/>
      <c r="B17" s="34" t="s">
        <v>10</v>
      </c>
      <c r="C17" s="35" t="s">
        <v>9</v>
      </c>
      <c r="D17" s="36" t="s">
        <v>9</v>
      </c>
      <c r="E17" s="37" t="s">
        <v>9</v>
      </c>
      <c r="F17" s="46">
        <f>SUM(F14:F16)</f>
        <v>519251.66000000003</v>
      </c>
      <c r="G17" s="45">
        <v>520553.04</v>
      </c>
      <c r="H17" s="45">
        <v>24726.27</v>
      </c>
      <c r="I17" s="45"/>
      <c r="J17" s="45">
        <v>26027.65</v>
      </c>
      <c r="K17" s="45"/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1804-E2C9-45A5-BE4F-D884ED8877EF}">
  <sheetPr>
    <tabColor theme="5" tint="0.39997558519241921"/>
  </sheetPr>
  <dimension ref="A1:O17"/>
  <sheetViews>
    <sheetView topLeftCell="B13" workbookViewId="0">
      <selection activeCell="N17" sqref="N17"/>
    </sheetView>
  </sheetViews>
  <sheetFormatPr defaultRowHeight="14.4" x14ac:dyDescent="0.3"/>
  <cols>
    <col min="1" max="1" width="21.109375" bestFit="1" customWidth="1"/>
    <col min="2" max="2" width="48.44140625" bestFit="1" customWidth="1"/>
    <col min="3" max="3" width="7.44140625" bestFit="1" customWidth="1"/>
    <col min="4" max="4" width="12.88671875" bestFit="1" customWidth="1"/>
    <col min="5" max="5" width="22.6640625" bestFit="1" customWidth="1"/>
    <col min="6" max="7" width="11.6640625" bestFit="1" customWidth="1"/>
    <col min="8" max="8" width="9.6640625" bestFit="1" customWidth="1"/>
    <col min="9" max="9" width="9" bestFit="1" customWidth="1"/>
    <col min="10" max="10" width="15.33203125" bestFit="1" customWidth="1"/>
    <col min="11" max="11" width="8.88671875" bestFit="1" customWidth="1"/>
    <col min="12" max="12" width="9" bestFit="1" customWidth="1"/>
    <col min="13" max="13" width="11.6640625" bestFit="1" customWidth="1"/>
    <col min="14" max="14" width="22.33203125" bestFit="1" customWidth="1"/>
    <col min="15" max="15" width="14.33203125" bestFit="1" customWidth="1"/>
  </cols>
  <sheetData>
    <row r="1" spans="1:15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15.6" x14ac:dyDescent="0.3">
      <c r="A7" s="115" t="s">
        <v>43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116" t="s">
        <v>44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116" t="s">
        <v>32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116" t="s">
        <v>39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116" t="s">
        <v>9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3">
      <c r="A13" s="116" t="s">
        <v>45</v>
      </c>
      <c r="B13" s="116"/>
      <c r="C13" s="116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3">
      <c r="A14" s="116" t="s">
        <v>336</v>
      </c>
      <c r="B14" s="116"/>
      <c r="C14" s="11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47.25" customHeight="1" x14ac:dyDescent="0.3">
      <c r="A15" s="16" t="s">
        <v>29</v>
      </c>
      <c r="B15" s="17" t="s">
        <v>28</v>
      </c>
      <c r="C15" s="16" t="s">
        <v>27</v>
      </c>
      <c r="D15" s="16" t="s">
        <v>26</v>
      </c>
      <c r="E15" s="16" t="s">
        <v>25</v>
      </c>
      <c r="F15" s="16" t="s">
        <v>24</v>
      </c>
      <c r="G15" s="16" t="s">
        <v>23</v>
      </c>
      <c r="H15" s="16" t="s">
        <v>5</v>
      </c>
      <c r="I15" s="16" t="s">
        <v>22</v>
      </c>
      <c r="J15" s="16" t="s">
        <v>46</v>
      </c>
      <c r="K15" s="16" t="s">
        <v>47</v>
      </c>
      <c r="L15" s="16" t="s">
        <v>48</v>
      </c>
      <c r="M15" s="16" t="s">
        <v>49</v>
      </c>
      <c r="N15" s="16" t="s">
        <v>50</v>
      </c>
      <c r="O15" s="16" t="s">
        <v>51</v>
      </c>
    </row>
    <row r="16" spans="1:15" ht="45.75" customHeight="1" x14ac:dyDescent="0.3">
      <c r="A16" s="18">
        <v>45275</v>
      </c>
      <c r="B16" s="19" t="s">
        <v>43</v>
      </c>
      <c r="C16" s="20" t="s">
        <v>13</v>
      </c>
      <c r="D16" s="21" t="s">
        <v>407</v>
      </c>
      <c r="E16" s="22" t="s">
        <v>408</v>
      </c>
      <c r="F16" s="50">
        <v>111526.98</v>
      </c>
      <c r="G16" s="49">
        <v>111806.5</v>
      </c>
      <c r="H16" s="49">
        <v>5310.81</v>
      </c>
      <c r="I16" s="49"/>
      <c r="J16" s="49"/>
      <c r="K16" s="49"/>
      <c r="L16" s="49"/>
      <c r="M16" s="49"/>
      <c r="N16" s="49">
        <v>5590.33</v>
      </c>
      <c r="O16" s="49"/>
    </row>
    <row r="17" spans="1:15" x14ac:dyDescent="0.3">
      <c r="A17" s="40"/>
      <c r="B17" s="34" t="s">
        <v>10</v>
      </c>
      <c r="C17" s="35" t="s">
        <v>9</v>
      </c>
      <c r="D17" s="36" t="s">
        <v>9</v>
      </c>
      <c r="E17" s="37" t="s">
        <v>9</v>
      </c>
      <c r="F17" s="46">
        <v>111526.98</v>
      </c>
      <c r="G17" s="45">
        <v>111806.5</v>
      </c>
      <c r="H17" s="45">
        <v>5310.81</v>
      </c>
      <c r="I17" s="45"/>
      <c r="J17" s="45"/>
      <c r="K17" s="45"/>
      <c r="L17" s="45"/>
      <c r="M17" s="45"/>
      <c r="N17" s="45">
        <v>5590.33</v>
      </c>
      <c r="O17" s="45"/>
    </row>
  </sheetData>
  <mergeCells count="13">
    <mergeCell ref="A14:C14"/>
    <mergeCell ref="A8:C8"/>
    <mergeCell ref="A9:C9"/>
    <mergeCell ref="A10:C10"/>
    <mergeCell ref="A11:C11"/>
    <mergeCell ref="A12:C12"/>
    <mergeCell ref="A13:C13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508A-227D-4B02-B071-28D03F17FD00}">
  <sheetPr>
    <tabColor theme="5" tint="0.59999389629810485"/>
  </sheetPr>
  <dimension ref="A1:O21"/>
  <sheetViews>
    <sheetView workbookViewId="0">
      <selection activeCell="H17" sqref="G17:H17"/>
    </sheetView>
  </sheetViews>
  <sheetFormatPr defaultRowHeight="14.4" x14ac:dyDescent="0.3"/>
  <cols>
    <col min="1" max="1" width="21.109375" bestFit="1" customWidth="1"/>
    <col min="2" max="2" width="48.44140625" bestFit="1" customWidth="1"/>
    <col min="3" max="3" width="7.44140625" bestFit="1" customWidth="1"/>
    <col min="4" max="4" width="12.88671875" bestFit="1" customWidth="1"/>
    <col min="5" max="5" width="41.6640625" customWidth="1"/>
    <col min="6" max="7" width="11.6640625" bestFit="1" customWidth="1"/>
    <col min="8" max="8" width="9.6640625" bestFit="1" customWidth="1"/>
    <col min="9" max="9" width="9" bestFit="1" customWidth="1"/>
    <col min="10" max="10" width="12.88671875" bestFit="1" customWidth="1"/>
    <col min="11" max="11" width="8.88671875" bestFit="1" customWidth="1"/>
    <col min="12" max="12" width="9" bestFit="1" customWidth="1"/>
    <col min="13" max="13" width="9.88671875" bestFit="1" customWidth="1"/>
    <col min="14" max="14" width="17.88671875" bestFit="1" customWidth="1"/>
    <col min="15" max="15" width="11.6640625" bestFit="1" customWidth="1"/>
  </cols>
  <sheetData>
    <row r="1" spans="1:15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15.6" x14ac:dyDescent="0.3">
      <c r="A7" s="115" t="s">
        <v>43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116" t="s">
        <v>44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116" t="s">
        <v>32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116" t="s">
        <v>39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116" t="s">
        <v>9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3">
      <c r="A13" s="116" t="s">
        <v>45</v>
      </c>
      <c r="B13" s="116"/>
      <c r="C13" s="116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3">
      <c r="A14" s="116" t="s">
        <v>336</v>
      </c>
      <c r="B14" s="116"/>
      <c r="C14" s="11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50.25" customHeight="1" x14ac:dyDescent="0.3">
      <c r="A15" s="16" t="s">
        <v>29</v>
      </c>
      <c r="B15" s="17" t="s">
        <v>28</v>
      </c>
      <c r="C15" s="16" t="s">
        <v>27</v>
      </c>
      <c r="D15" s="16" t="s">
        <v>26</v>
      </c>
      <c r="E15" s="16" t="s">
        <v>25</v>
      </c>
      <c r="F15" s="16" t="s">
        <v>24</v>
      </c>
      <c r="G15" s="16" t="s">
        <v>23</v>
      </c>
      <c r="H15" s="16" t="s">
        <v>5</v>
      </c>
      <c r="I15" s="16" t="s">
        <v>22</v>
      </c>
      <c r="J15" s="16" t="s">
        <v>46</v>
      </c>
      <c r="K15" s="16" t="s">
        <v>47</v>
      </c>
      <c r="L15" s="16" t="s">
        <v>48</v>
      </c>
      <c r="M15" s="16" t="s">
        <v>49</v>
      </c>
      <c r="N15" s="16" t="s">
        <v>50</v>
      </c>
      <c r="O15" s="16" t="s">
        <v>51</v>
      </c>
    </row>
    <row r="16" spans="1:15" ht="66.75" customHeight="1" x14ac:dyDescent="0.3">
      <c r="A16" s="18">
        <v>45281</v>
      </c>
      <c r="B16" s="19" t="s">
        <v>43</v>
      </c>
      <c r="C16" s="20" t="s">
        <v>13</v>
      </c>
      <c r="D16" s="21" t="s">
        <v>410</v>
      </c>
      <c r="E16" s="22" t="s">
        <v>409</v>
      </c>
      <c r="F16" s="50">
        <v>115839.67999999999</v>
      </c>
      <c r="G16" s="49">
        <v>116130</v>
      </c>
      <c r="H16" s="49">
        <v>5516.18</v>
      </c>
      <c r="I16" s="49"/>
      <c r="J16" s="49"/>
      <c r="K16" s="49"/>
      <c r="L16" s="49"/>
      <c r="M16" s="49"/>
      <c r="N16" s="49"/>
      <c r="O16" s="49">
        <v>5806.5</v>
      </c>
    </row>
    <row r="17" spans="1:15" x14ac:dyDescent="0.3">
      <c r="A17" s="40"/>
      <c r="B17" s="34" t="s">
        <v>10</v>
      </c>
      <c r="C17" s="35" t="s">
        <v>9</v>
      </c>
      <c r="D17" s="36" t="s">
        <v>9</v>
      </c>
      <c r="E17" s="37" t="s">
        <v>9</v>
      </c>
      <c r="F17" s="46">
        <v>115839.67999999999</v>
      </c>
      <c r="G17" s="45">
        <v>116130</v>
      </c>
      <c r="H17" s="45">
        <v>5516.18</v>
      </c>
      <c r="I17" s="45"/>
      <c r="J17" s="45"/>
      <c r="K17" s="45"/>
      <c r="L17" s="45"/>
      <c r="M17" s="45"/>
      <c r="N17" s="45"/>
      <c r="O17" s="45">
        <v>5806.5</v>
      </c>
    </row>
    <row r="21" spans="1:15" x14ac:dyDescent="0.3">
      <c r="G21" s="2"/>
    </row>
  </sheetData>
  <mergeCells count="13">
    <mergeCell ref="A14:C14"/>
    <mergeCell ref="A8:C8"/>
    <mergeCell ref="A9:C9"/>
    <mergeCell ref="A10:C10"/>
    <mergeCell ref="A11:C11"/>
    <mergeCell ref="A12:C12"/>
    <mergeCell ref="A13:C13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1364-F4B6-4114-AD8C-5A93021C945A}">
  <sheetPr>
    <tabColor theme="5" tint="0.79998168889431442"/>
  </sheetPr>
  <dimension ref="A1:O18"/>
  <sheetViews>
    <sheetView topLeftCell="A16" workbookViewId="0">
      <selection activeCell="G17" sqref="G17"/>
    </sheetView>
  </sheetViews>
  <sheetFormatPr defaultRowHeight="14.4" x14ac:dyDescent="0.3"/>
  <cols>
    <col min="1" max="1" width="21.109375" bestFit="1" customWidth="1"/>
    <col min="2" max="2" width="48.44140625" bestFit="1" customWidth="1"/>
    <col min="3" max="3" width="7.44140625" bestFit="1" customWidth="1"/>
    <col min="4" max="4" width="12.88671875" bestFit="1" customWidth="1"/>
    <col min="5" max="5" width="14.44140625" bestFit="1" customWidth="1"/>
    <col min="6" max="7" width="11.6640625" bestFit="1" customWidth="1"/>
    <col min="8" max="8" width="10.6640625" bestFit="1" customWidth="1"/>
    <col min="9" max="9" width="9" bestFit="1" customWidth="1"/>
    <col min="10" max="10" width="12.88671875" bestFit="1" customWidth="1"/>
    <col min="11" max="11" width="8.88671875" bestFit="1" customWidth="1"/>
    <col min="12" max="12" width="9" bestFit="1" customWidth="1"/>
    <col min="13" max="13" width="9.88671875" bestFit="1" customWidth="1"/>
    <col min="14" max="14" width="17.88671875" bestFit="1" customWidth="1"/>
    <col min="15" max="15" width="11.6640625" bestFit="1" customWidth="1"/>
  </cols>
  <sheetData>
    <row r="1" spans="1:15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15.6" x14ac:dyDescent="0.3">
      <c r="A7" s="115" t="s">
        <v>43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116" t="s">
        <v>44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116" t="s">
        <v>32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116" t="s">
        <v>39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116" t="s">
        <v>9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3">
      <c r="A13" s="116" t="s">
        <v>45</v>
      </c>
      <c r="B13" s="116"/>
      <c r="C13" s="116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3">
      <c r="A14" s="116" t="s">
        <v>336</v>
      </c>
      <c r="B14" s="116"/>
      <c r="C14" s="11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57" customHeight="1" x14ac:dyDescent="0.3">
      <c r="A15" s="16" t="s">
        <v>29</v>
      </c>
      <c r="B15" s="17" t="s">
        <v>28</v>
      </c>
      <c r="C15" s="16" t="s">
        <v>27</v>
      </c>
      <c r="D15" s="16" t="s">
        <v>26</v>
      </c>
      <c r="E15" s="16" t="s">
        <v>25</v>
      </c>
      <c r="F15" s="16" t="s">
        <v>24</v>
      </c>
      <c r="G15" s="16" t="s">
        <v>23</v>
      </c>
      <c r="H15" s="16" t="s">
        <v>5</v>
      </c>
      <c r="I15" s="16" t="s">
        <v>22</v>
      </c>
      <c r="J15" s="16" t="s">
        <v>46</v>
      </c>
      <c r="K15" s="16" t="s">
        <v>47</v>
      </c>
      <c r="L15" s="16" t="s">
        <v>48</v>
      </c>
      <c r="M15" s="16" t="s">
        <v>49</v>
      </c>
      <c r="N15" s="16" t="s">
        <v>50</v>
      </c>
      <c r="O15" s="16" t="s">
        <v>51</v>
      </c>
    </row>
    <row r="16" spans="1:15" ht="57" customHeight="1" x14ac:dyDescent="0.3">
      <c r="A16" s="18">
        <v>45272</v>
      </c>
      <c r="B16" s="19" t="s">
        <v>43</v>
      </c>
      <c r="C16" s="20" t="s">
        <v>13</v>
      </c>
      <c r="D16" s="21" t="s">
        <v>414</v>
      </c>
      <c r="E16" s="22" t="s">
        <v>413</v>
      </c>
      <c r="F16" s="23">
        <v>105000</v>
      </c>
      <c r="G16" s="24">
        <v>100000</v>
      </c>
      <c r="H16" s="24">
        <v>5000</v>
      </c>
      <c r="I16" s="25"/>
      <c r="J16" s="25"/>
      <c r="K16" s="25"/>
      <c r="L16" s="25"/>
      <c r="M16" s="25"/>
      <c r="N16" s="25"/>
      <c r="O16" s="25"/>
    </row>
    <row r="17" spans="1:15" ht="57" customHeight="1" x14ac:dyDescent="0.3">
      <c r="A17" s="26">
        <v>45272</v>
      </c>
      <c r="B17" s="27" t="s">
        <v>43</v>
      </c>
      <c r="C17" s="28" t="s">
        <v>13</v>
      </c>
      <c r="D17" s="29" t="s">
        <v>412</v>
      </c>
      <c r="E17" s="30" t="s">
        <v>411</v>
      </c>
      <c r="F17" s="31">
        <v>123900</v>
      </c>
      <c r="G17" s="32">
        <v>118000</v>
      </c>
      <c r="H17" s="32">
        <v>5900</v>
      </c>
      <c r="I17" s="33"/>
      <c r="J17" s="33"/>
      <c r="K17" s="33"/>
      <c r="L17" s="33"/>
      <c r="M17" s="33"/>
      <c r="N17" s="33"/>
      <c r="O17" s="33"/>
    </row>
    <row r="18" spans="1:15" x14ac:dyDescent="0.3">
      <c r="A18" s="40"/>
      <c r="B18" s="34" t="s">
        <v>10</v>
      </c>
      <c r="C18" s="35" t="s">
        <v>9</v>
      </c>
      <c r="D18" s="36" t="s">
        <v>9</v>
      </c>
      <c r="E18" s="37" t="s">
        <v>9</v>
      </c>
      <c r="F18" s="38">
        <v>228900</v>
      </c>
      <c r="G18" s="39">
        <v>218000</v>
      </c>
      <c r="H18" s="39">
        <v>10900</v>
      </c>
      <c r="I18" s="41"/>
      <c r="J18" s="41"/>
      <c r="K18" s="41"/>
      <c r="L18" s="41"/>
      <c r="M18" s="41"/>
      <c r="N18" s="41"/>
      <c r="O18" s="41"/>
    </row>
  </sheetData>
  <mergeCells count="13">
    <mergeCell ref="A14:C14"/>
    <mergeCell ref="A8:C8"/>
    <mergeCell ref="A9:C9"/>
    <mergeCell ref="A10:C10"/>
    <mergeCell ref="A11:C11"/>
    <mergeCell ref="A12:C12"/>
    <mergeCell ref="A13:C13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4140-238E-4CE7-95DA-1406532BE7A2}">
  <dimension ref="A1:K16"/>
  <sheetViews>
    <sheetView topLeftCell="A7" workbookViewId="0">
      <selection activeCell="G23" sqref="G23"/>
    </sheetView>
  </sheetViews>
  <sheetFormatPr defaultRowHeight="14.4" x14ac:dyDescent="0.3"/>
  <cols>
    <col min="1" max="1" width="21.109375" bestFit="1" customWidth="1"/>
    <col min="2" max="2" width="47.44140625" bestFit="1" customWidth="1"/>
    <col min="3" max="3" width="7.44140625" bestFit="1" customWidth="1"/>
    <col min="4" max="4" width="12.88671875" bestFit="1" customWidth="1"/>
    <col min="5" max="5" width="45.109375" customWidth="1"/>
    <col min="6" max="6" width="12.6640625" bestFit="1" customWidth="1"/>
    <col min="7" max="7" width="9" bestFit="1" customWidth="1"/>
    <col min="8" max="8" width="12.6640625" bestFit="1" customWidth="1"/>
    <col min="9" max="9" width="10.6640625" bestFit="1" customWidth="1"/>
    <col min="10" max="10" width="14.5546875" bestFit="1" customWidth="1"/>
    <col min="11" max="11" width="8.88671875" bestFit="1" customWidth="1"/>
  </cols>
  <sheetData>
    <row r="1" spans="1:11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</row>
    <row r="2" spans="1:11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</row>
    <row r="3" spans="1:11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</row>
    <row r="4" spans="1:11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</row>
    <row r="5" spans="1:11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</row>
    <row r="6" spans="1:11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5.6" x14ac:dyDescent="0.3">
      <c r="A7" s="115" t="s">
        <v>417</v>
      </c>
      <c r="B7" s="115"/>
      <c r="C7" s="115"/>
      <c r="D7" s="14"/>
      <c r="E7" s="14"/>
      <c r="F7" s="14"/>
      <c r="G7" s="14"/>
      <c r="H7" s="14"/>
      <c r="I7" s="14"/>
      <c r="J7" s="14"/>
      <c r="K7" s="14"/>
    </row>
    <row r="8" spans="1:11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</row>
    <row r="9" spans="1:11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</row>
    <row r="10" spans="1:11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</row>
    <row r="11" spans="1:11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</row>
    <row r="12" spans="1:11" x14ac:dyDescent="0.3">
      <c r="A12" s="116" t="s">
        <v>302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</row>
    <row r="13" spans="1:11" ht="46.5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22</v>
      </c>
      <c r="H13" s="16" t="s">
        <v>23</v>
      </c>
      <c r="I13" s="16" t="s">
        <v>5</v>
      </c>
      <c r="J13" s="16" t="s">
        <v>420</v>
      </c>
      <c r="K13" s="16" t="s">
        <v>47</v>
      </c>
    </row>
    <row r="14" spans="1:11" ht="34.5" customHeight="1" x14ac:dyDescent="0.3">
      <c r="A14" s="18">
        <v>45268</v>
      </c>
      <c r="B14" s="19" t="s">
        <v>417</v>
      </c>
      <c r="C14" s="20" t="s">
        <v>13</v>
      </c>
      <c r="D14" s="21" t="s">
        <v>419</v>
      </c>
      <c r="E14" s="22" t="s">
        <v>418</v>
      </c>
      <c r="F14" s="23">
        <v>1005848.28</v>
      </c>
      <c r="G14" s="24"/>
      <c r="H14" s="24">
        <v>1008369.2</v>
      </c>
      <c r="I14" s="24">
        <v>47897.54</v>
      </c>
      <c r="J14" s="24">
        <v>50418.46</v>
      </c>
      <c r="K14" s="24"/>
    </row>
    <row r="15" spans="1:11" ht="78" customHeight="1" x14ac:dyDescent="0.3">
      <c r="A15" s="26">
        <v>45285</v>
      </c>
      <c r="B15" s="27" t="s">
        <v>417</v>
      </c>
      <c r="C15" s="28" t="s">
        <v>13</v>
      </c>
      <c r="D15" s="29" t="s">
        <v>416</v>
      </c>
      <c r="E15" s="30" t="s">
        <v>415</v>
      </c>
      <c r="F15" s="31">
        <v>670516.71</v>
      </c>
      <c r="G15" s="32"/>
      <c r="H15" s="32">
        <v>672197.2</v>
      </c>
      <c r="I15" s="32">
        <v>31929.37</v>
      </c>
      <c r="J15" s="32">
        <v>33609.86</v>
      </c>
      <c r="K15" s="32"/>
    </row>
    <row r="16" spans="1:11" x14ac:dyDescent="0.3">
      <c r="A16" s="40"/>
      <c r="B16" s="34" t="s">
        <v>10</v>
      </c>
      <c r="C16" s="35" t="s">
        <v>9</v>
      </c>
      <c r="D16" s="36" t="s">
        <v>9</v>
      </c>
      <c r="E16" s="37" t="s">
        <v>9</v>
      </c>
      <c r="F16" s="38">
        <v>1676364.99</v>
      </c>
      <c r="G16" s="39"/>
      <c r="H16" s="39">
        <v>1680566.4</v>
      </c>
      <c r="I16" s="39">
        <v>79826.91</v>
      </c>
      <c r="J16" s="39">
        <v>84028.32</v>
      </c>
      <c r="K16" s="39"/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467-B590-4EEC-8A5F-CD38248D67C1}">
  <dimension ref="A1:K16"/>
  <sheetViews>
    <sheetView topLeftCell="A16" workbookViewId="0">
      <selection activeCell="I22" sqref="I22"/>
    </sheetView>
  </sheetViews>
  <sheetFormatPr defaultRowHeight="14.4" x14ac:dyDescent="0.3"/>
  <cols>
    <col min="1" max="1" width="21.109375" bestFit="1" customWidth="1"/>
    <col min="2" max="2" width="47.44140625" bestFit="1" customWidth="1"/>
    <col min="3" max="3" width="7.44140625" bestFit="1" customWidth="1"/>
    <col min="4" max="4" width="12.88671875" bestFit="1" customWidth="1"/>
    <col min="5" max="5" width="34.5546875" bestFit="1" customWidth="1"/>
    <col min="6" max="6" width="11.6640625" bestFit="1" customWidth="1"/>
    <col min="7" max="7" width="9" bestFit="1" customWidth="1"/>
    <col min="8" max="8" width="11.6640625" bestFit="1" customWidth="1"/>
    <col min="9" max="9" width="10.6640625" bestFit="1" customWidth="1"/>
    <col min="10" max="10" width="12" bestFit="1" customWidth="1"/>
    <col min="11" max="11" width="8.88671875" bestFit="1" customWidth="1"/>
  </cols>
  <sheetData>
    <row r="1" spans="1:11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</row>
    <row r="2" spans="1:11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</row>
    <row r="3" spans="1:11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</row>
    <row r="4" spans="1:11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</row>
    <row r="5" spans="1:11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</row>
    <row r="6" spans="1:11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5.6" x14ac:dyDescent="0.3">
      <c r="A7" s="115" t="s">
        <v>417</v>
      </c>
      <c r="B7" s="115"/>
      <c r="C7" s="115"/>
      <c r="D7" s="14"/>
      <c r="E7" s="14"/>
      <c r="F7" s="14"/>
      <c r="G7" s="14"/>
      <c r="H7" s="14"/>
      <c r="I7" s="14"/>
      <c r="J7" s="14"/>
      <c r="K7" s="14"/>
    </row>
    <row r="8" spans="1:11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</row>
    <row r="9" spans="1:11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</row>
    <row r="10" spans="1:11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</row>
    <row r="11" spans="1:11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</row>
    <row r="12" spans="1:11" x14ac:dyDescent="0.3">
      <c r="A12" s="116" t="s">
        <v>302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</row>
    <row r="13" spans="1:11" ht="48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22</v>
      </c>
      <c r="H13" s="16" t="s">
        <v>23</v>
      </c>
      <c r="I13" s="16" t="s">
        <v>5</v>
      </c>
      <c r="J13" s="16" t="s">
        <v>420</v>
      </c>
      <c r="K13" s="16" t="s">
        <v>47</v>
      </c>
    </row>
    <row r="14" spans="1:11" ht="63" customHeight="1" x14ac:dyDescent="0.3">
      <c r="A14" s="18">
        <v>45284</v>
      </c>
      <c r="B14" s="19" t="s">
        <v>417</v>
      </c>
      <c r="C14" s="20" t="s">
        <v>13</v>
      </c>
      <c r="D14" s="21" t="s">
        <v>424</v>
      </c>
      <c r="E14" s="22" t="s">
        <v>423</v>
      </c>
      <c r="F14" s="23">
        <v>147301.35</v>
      </c>
      <c r="G14" s="24"/>
      <c r="H14" s="24">
        <v>147670.51999999999</v>
      </c>
      <c r="I14" s="24">
        <v>7014.35</v>
      </c>
      <c r="J14" s="24">
        <v>7383.53</v>
      </c>
      <c r="K14" s="24">
        <v>0.01</v>
      </c>
    </row>
    <row r="15" spans="1:11" ht="63.75" customHeight="1" x14ac:dyDescent="0.3">
      <c r="A15" s="26">
        <v>45286</v>
      </c>
      <c r="B15" s="27" t="s">
        <v>417</v>
      </c>
      <c r="C15" s="28" t="s">
        <v>13</v>
      </c>
      <c r="D15" s="29" t="s">
        <v>422</v>
      </c>
      <c r="E15" s="30" t="s">
        <v>421</v>
      </c>
      <c r="F15" s="31">
        <v>183390.18</v>
      </c>
      <c r="G15" s="32"/>
      <c r="H15" s="32">
        <v>183849.8</v>
      </c>
      <c r="I15" s="32">
        <v>8732.8700000000008</v>
      </c>
      <c r="J15" s="32">
        <v>9192.49</v>
      </c>
      <c r="K15" s="32"/>
    </row>
    <row r="16" spans="1:11" x14ac:dyDescent="0.3">
      <c r="A16" s="40"/>
      <c r="B16" s="34" t="s">
        <v>10</v>
      </c>
      <c r="C16" s="35" t="s">
        <v>9</v>
      </c>
      <c r="D16" s="36" t="s">
        <v>9</v>
      </c>
      <c r="E16" s="37" t="s">
        <v>9</v>
      </c>
      <c r="F16" s="38">
        <v>330691.53000000003</v>
      </c>
      <c r="G16" s="39"/>
      <c r="H16" s="39">
        <v>331520.32</v>
      </c>
      <c r="I16" s="39">
        <v>15747.22</v>
      </c>
      <c r="J16" s="39">
        <v>16576.02</v>
      </c>
      <c r="K16" s="39">
        <v>0.01</v>
      </c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7ED8-F37E-4881-87C4-50541DADBC43}">
  <dimension ref="A1:N17"/>
  <sheetViews>
    <sheetView topLeftCell="A16" workbookViewId="0">
      <selection activeCell="F18" sqref="F18"/>
    </sheetView>
  </sheetViews>
  <sheetFormatPr defaultRowHeight="14.4" x14ac:dyDescent="0.3"/>
  <cols>
    <col min="1" max="1" width="21.109375" bestFit="1" customWidth="1"/>
    <col min="2" max="2" width="35.5546875" bestFit="1" customWidth="1"/>
    <col min="3" max="3" width="7.44140625" bestFit="1" customWidth="1"/>
    <col min="4" max="4" width="12.88671875" bestFit="1" customWidth="1"/>
    <col min="5" max="5" width="23.5546875" bestFit="1" customWidth="1"/>
    <col min="6" max="7" width="11.6640625" bestFit="1" customWidth="1"/>
    <col min="8" max="8" width="7" bestFit="1" customWidth="1"/>
    <col min="9" max="9" width="10.6640625" bestFit="1" customWidth="1"/>
    <col min="10" max="10" width="7.44140625" bestFit="1" customWidth="1"/>
    <col min="11" max="11" width="10.6640625" bestFit="1" customWidth="1"/>
    <col min="12" max="12" width="8.6640625" bestFit="1" customWidth="1"/>
    <col min="13" max="13" width="9.6640625" bestFit="1" customWidth="1"/>
    <col min="14" max="14" width="8.88671875" bestFit="1" customWidth="1"/>
  </cols>
  <sheetData>
    <row r="1" spans="1:14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ht="15.6" x14ac:dyDescent="0.3">
      <c r="A7" s="115" t="s">
        <v>425</v>
      </c>
      <c r="B7" s="115"/>
      <c r="C7" s="1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3">
      <c r="A12" s="116" t="s">
        <v>336</v>
      </c>
      <c r="B12" s="116"/>
      <c r="C12" s="1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48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426</v>
      </c>
      <c r="I13" s="16" t="s">
        <v>22</v>
      </c>
      <c r="J13" s="16" t="s">
        <v>427</v>
      </c>
      <c r="K13" s="16" t="s">
        <v>5</v>
      </c>
      <c r="L13" s="16" t="s">
        <v>428</v>
      </c>
      <c r="M13" s="16" t="s">
        <v>429</v>
      </c>
      <c r="N13" s="16" t="s">
        <v>47</v>
      </c>
    </row>
    <row r="14" spans="1:14" ht="48" customHeight="1" x14ac:dyDescent="0.3">
      <c r="A14" s="26">
        <v>45272</v>
      </c>
      <c r="B14" s="27" t="s">
        <v>425</v>
      </c>
      <c r="C14" s="28" t="s">
        <v>13</v>
      </c>
      <c r="D14" s="29" t="s">
        <v>430</v>
      </c>
      <c r="E14" s="30" t="s">
        <v>431</v>
      </c>
      <c r="F14" s="31">
        <v>163590</v>
      </c>
      <c r="G14" s="32">
        <v>155800</v>
      </c>
      <c r="H14" s="32"/>
      <c r="I14" s="32"/>
      <c r="J14" s="32"/>
      <c r="K14" s="32">
        <v>7790</v>
      </c>
      <c r="L14" s="32"/>
      <c r="M14" s="32"/>
      <c r="N14" s="33"/>
    </row>
    <row r="15" spans="1:14" ht="48" customHeight="1" x14ac:dyDescent="0.3">
      <c r="A15" s="26">
        <v>45272</v>
      </c>
      <c r="B15" s="27" t="s">
        <v>425</v>
      </c>
      <c r="C15" s="28" t="s">
        <v>13</v>
      </c>
      <c r="D15" s="29" t="s">
        <v>432</v>
      </c>
      <c r="E15" s="30" t="s">
        <v>433</v>
      </c>
      <c r="F15" s="31">
        <v>245385</v>
      </c>
      <c r="G15" s="32">
        <v>233700</v>
      </c>
      <c r="H15" s="32"/>
      <c r="I15" s="32"/>
      <c r="J15" s="32"/>
      <c r="K15" s="32">
        <v>11685</v>
      </c>
      <c r="L15" s="32"/>
      <c r="M15" s="32"/>
      <c r="N15" s="33"/>
    </row>
    <row r="16" spans="1:14" ht="48" customHeight="1" x14ac:dyDescent="0.3">
      <c r="A16" s="26">
        <v>45286</v>
      </c>
      <c r="B16" s="27" t="s">
        <v>425</v>
      </c>
      <c r="C16" s="28" t="s">
        <v>13</v>
      </c>
      <c r="D16" s="29" t="s">
        <v>434</v>
      </c>
      <c r="E16" s="30" t="s">
        <v>435</v>
      </c>
      <c r="F16" s="31">
        <v>163590</v>
      </c>
      <c r="G16" s="32">
        <v>155800</v>
      </c>
      <c r="H16" s="32"/>
      <c r="I16" s="32"/>
      <c r="J16" s="32"/>
      <c r="K16" s="32">
        <v>7790</v>
      </c>
      <c r="L16" s="32"/>
      <c r="M16" s="32"/>
      <c r="N16" s="33"/>
    </row>
    <row r="17" spans="1:14" x14ac:dyDescent="0.3">
      <c r="A17" s="40"/>
      <c r="B17" s="34" t="s">
        <v>10</v>
      </c>
      <c r="C17" s="35" t="s">
        <v>9</v>
      </c>
      <c r="D17" s="36" t="s">
        <v>9</v>
      </c>
      <c r="E17" s="37" t="s">
        <v>9</v>
      </c>
      <c r="F17" s="38">
        <f>SUM(F14:F16)</f>
        <v>572565</v>
      </c>
      <c r="G17" s="39">
        <v>545300</v>
      </c>
      <c r="H17" s="39"/>
      <c r="I17" s="39"/>
      <c r="J17" s="39"/>
      <c r="K17" s="39">
        <v>27265</v>
      </c>
      <c r="L17" s="39"/>
      <c r="M17" s="39"/>
      <c r="N17" s="41"/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4338-5FAD-4490-817B-5A372D5163EC}">
  <dimension ref="A1:I15"/>
  <sheetViews>
    <sheetView topLeftCell="A13" workbookViewId="0">
      <selection activeCell="E14" sqref="E14"/>
    </sheetView>
  </sheetViews>
  <sheetFormatPr defaultRowHeight="14.4" x14ac:dyDescent="0.3"/>
  <cols>
    <col min="1" max="1" width="21.109375" bestFit="1" customWidth="1"/>
    <col min="2" max="2" width="20.44140625" bestFit="1" customWidth="1"/>
    <col min="3" max="3" width="7.44140625" bestFit="1" customWidth="1"/>
    <col min="4" max="4" width="12.88671875" bestFit="1" customWidth="1"/>
    <col min="5" max="5" width="40.33203125" bestFit="1" customWidth="1"/>
    <col min="6" max="7" width="11.6640625" bestFit="1" customWidth="1"/>
    <col min="8" max="8" width="14.44140625" bestFit="1" customWidth="1"/>
    <col min="9" max="9" width="10.6640625" bestFit="1" customWidth="1"/>
  </cols>
  <sheetData>
    <row r="1" spans="1:9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</row>
    <row r="2" spans="1:9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</row>
    <row r="3" spans="1:9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</row>
    <row r="4" spans="1:9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</row>
    <row r="5" spans="1:9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</row>
    <row r="6" spans="1:9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</row>
    <row r="7" spans="1:9" ht="15.6" x14ac:dyDescent="0.3">
      <c r="A7" s="115" t="s">
        <v>7</v>
      </c>
      <c r="B7" s="115"/>
      <c r="C7" s="115"/>
      <c r="D7" s="14"/>
      <c r="E7" s="14"/>
      <c r="F7" s="14"/>
      <c r="G7" s="14"/>
      <c r="H7" s="14"/>
      <c r="I7" s="14"/>
    </row>
    <row r="8" spans="1:9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</row>
    <row r="9" spans="1:9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</row>
    <row r="10" spans="1:9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</row>
    <row r="11" spans="1:9" x14ac:dyDescent="0.3">
      <c r="A11" s="116" t="s">
        <v>45</v>
      </c>
      <c r="B11" s="116"/>
      <c r="C11" s="116"/>
      <c r="D11" s="14"/>
      <c r="E11" s="14"/>
      <c r="F11" s="14"/>
      <c r="G11" s="14"/>
      <c r="H11" s="14"/>
      <c r="I11" s="14"/>
    </row>
    <row r="12" spans="1:9" x14ac:dyDescent="0.3">
      <c r="A12" s="116" t="s">
        <v>302</v>
      </c>
      <c r="B12" s="116"/>
      <c r="C12" s="116"/>
      <c r="D12" s="14"/>
      <c r="E12" s="14"/>
      <c r="F12" s="14"/>
      <c r="G12" s="14"/>
      <c r="H12" s="14"/>
      <c r="I12" s="14"/>
    </row>
    <row r="13" spans="1:9" ht="46.5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438</v>
      </c>
      <c r="I13" s="16" t="s">
        <v>5</v>
      </c>
    </row>
    <row r="14" spans="1:9" ht="63" customHeight="1" x14ac:dyDescent="0.3">
      <c r="A14" s="18">
        <v>45280</v>
      </c>
      <c r="B14" s="19" t="s">
        <v>7</v>
      </c>
      <c r="C14" s="20" t="s">
        <v>13</v>
      </c>
      <c r="D14" s="21" t="s">
        <v>437</v>
      </c>
      <c r="E14" s="22" t="s">
        <v>436</v>
      </c>
      <c r="F14" s="23">
        <v>420122.29</v>
      </c>
      <c r="G14" s="24">
        <v>421175.23</v>
      </c>
      <c r="H14" s="24">
        <v>21058.76</v>
      </c>
      <c r="I14" s="24">
        <v>20005.82</v>
      </c>
    </row>
    <row r="15" spans="1:9" x14ac:dyDescent="0.3">
      <c r="A15" s="40"/>
      <c r="B15" s="34" t="s">
        <v>10</v>
      </c>
      <c r="C15" s="35" t="s">
        <v>9</v>
      </c>
      <c r="D15" s="36" t="s">
        <v>9</v>
      </c>
      <c r="E15" s="37" t="s">
        <v>9</v>
      </c>
      <c r="F15" s="38">
        <v>420122.29</v>
      </c>
      <c r="G15" s="39">
        <v>421175.23</v>
      </c>
      <c r="H15" s="39">
        <v>21058.76</v>
      </c>
      <c r="I15" s="39">
        <v>20005.82</v>
      </c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46ED-2BDD-47D0-9B3F-DD6F7E435592}">
  <dimension ref="A1:I51"/>
  <sheetViews>
    <sheetView topLeftCell="A40" workbookViewId="0">
      <selection activeCell="B57" sqref="B57"/>
    </sheetView>
  </sheetViews>
  <sheetFormatPr defaultRowHeight="14.4" x14ac:dyDescent="0.3"/>
  <cols>
    <col min="1" max="1" width="21.109375" bestFit="1" customWidth="1"/>
    <col min="2" max="2" width="44.109375" bestFit="1" customWidth="1"/>
    <col min="3" max="3" width="7.44140625" bestFit="1" customWidth="1"/>
    <col min="4" max="4" width="12.88671875" bestFit="1" customWidth="1"/>
    <col min="5" max="5" width="54" customWidth="1"/>
    <col min="6" max="7" width="11.6640625" bestFit="1" customWidth="1"/>
    <col min="8" max="8" width="10.6640625" bestFit="1" customWidth="1"/>
    <col min="9" max="9" width="14.109375" bestFit="1" customWidth="1"/>
  </cols>
  <sheetData>
    <row r="1" spans="1:9" ht="15.6" x14ac:dyDescent="0.3">
      <c r="A1" s="115" t="s">
        <v>42</v>
      </c>
      <c r="B1" s="115"/>
      <c r="C1" s="115"/>
      <c r="D1" s="14"/>
      <c r="E1" s="14"/>
      <c r="F1" s="14"/>
      <c r="G1" s="14"/>
      <c r="H1" s="14"/>
      <c r="I1" s="14"/>
    </row>
    <row r="2" spans="1:9" x14ac:dyDescent="0.3">
      <c r="A2" s="116" t="s">
        <v>41</v>
      </c>
      <c r="B2" s="116"/>
      <c r="C2" s="116"/>
      <c r="D2" s="14"/>
      <c r="E2" s="14"/>
      <c r="F2" s="14"/>
      <c r="G2" s="14"/>
      <c r="H2" s="14"/>
      <c r="I2" s="14"/>
    </row>
    <row r="3" spans="1:9" x14ac:dyDescent="0.3">
      <c r="A3" s="116" t="s">
        <v>40</v>
      </c>
      <c r="B3" s="116"/>
      <c r="C3" s="116"/>
      <c r="D3" s="14"/>
      <c r="E3" s="14"/>
      <c r="F3" s="14"/>
      <c r="G3" s="14"/>
      <c r="H3" s="14"/>
      <c r="I3" s="14"/>
    </row>
    <row r="4" spans="1:9" x14ac:dyDescent="0.3">
      <c r="A4" s="116" t="s">
        <v>39</v>
      </c>
      <c r="B4" s="116"/>
      <c r="C4" s="116"/>
      <c r="D4" s="14"/>
      <c r="E4" s="14"/>
      <c r="F4" s="14"/>
      <c r="G4" s="14"/>
      <c r="H4" s="14"/>
      <c r="I4" s="14"/>
    </row>
    <row r="5" spans="1:9" x14ac:dyDescent="0.3">
      <c r="A5" s="117" t="s">
        <v>38</v>
      </c>
      <c r="B5" s="117"/>
      <c r="C5" s="117"/>
      <c r="D5" s="14"/>
      <c r="E5" s="14"/>
      <c r="F5" s="14"/>
      <c r="G5" s="14"/>
      <c r="H5" s="14"/>
      <c r="I5" s="14"/>
    </row>
    <row r="6" spans="1:9" x14ac:dyDescent="0.3">
      <c r="A6" s="15" t="s">
        <v>37</v>
      </c>
      <c r="B6" s="14"/>
      <c r="C6" s="14"/>
      <c r="D6" s="14"/>
      <c r="E6" s="14"/>
      <c r="F6" s="14"/>
      <c r="G6" s="14"/>
      <c r="H6" s="14"/>
      <c r="I6" s="14"/>
    </row>
    <row r="7" spans="1:9" ht="15.6" x14ac:dyDescent="0.3">
      <c r="A7" s="115" t="s">
        <v>441</v>
      </c>
      <c r="B7" s="115"/>
      <c r="C7" s="115"/>
      <c r="D7" s="14"/>
      <c r="E7" s="14"/>
      <c r="F7" s="14"/>
      <c r="G7" s="14"/>
      <c r="H7" s="14"/>
      <c r="I7" s="14"/>
    </row>
    <row r="8" spans="1:9" x14ac:dyDescent="0.3">
      <c r="A8" s="116" t="s">
        <v>36</v>
      </c>
      <c r="B8" s="116"/>
      <c r="C8" s="116"/>
      <c r="D8" s="14"/>
      <c r="E8" s="14"/>
      <c r="F8" s="14"/>
      <c r="G8" s="14"/>
      <c r="H8" s="14"/>
      <c r="I8" s="14"/>
    </row>
    <row r="9" spans="1:9" x14ac:dyDescent="0.3">
      <c r="A9" s="116" t="s">
        <v>9</v>
      </c>
      <c r="B9" s="116"/>
      <c r="C9" s="116"/>
      <c r="D9" s="14"/>
      <c r="E9" s="14"/>
      <c r="F9" s="14"/>
      <c r="G9" s="14"/>
      <c r="H9" s="14"/>
      <c r="I9" s="14"/>
    </row>
    <row r="10" spans="1:9" x14ac:dyDescent="0.3">
      <c r="A10" s="116" t="s">
        <v>9</v>
      </c>
      <c r="B10" s="116"/>
      <c r="C10" s="116"/>
      <c r="D10" s="14"/>
      <c r="E10" s="14"/>
      <c r="F10" s="14"/>
      <c r="G10" s="14"/>
      <c r="H10" s="14"/>
      <c r="I10" s="14"/>
    </row>
    <row r="11" spans="1:9" x14ac:dyDescent="0.3">
      <c r="A11" s="116" t="s">
        <v>511</v>
      </c>
      <c r="B11" s="116"/>
      <c r="C11" s="116"/>
      <c r="D11" s="14"/>
      <c r="E11" s="14"/>
      <c r="F11" s="14"/>
      <c r="G11" s="14"/>
      <c r="H11" s="14"/>
      <c r="I11" s="14"/>
    </row>
    <row r="12" spans="1:9" x14ac:dyDescent="0.3">
      <c r="A12" s="116" t="s">
        <v>510</v>
      </c>
      <c r="B12" s="116"/>
      <c r="C12" s="116"/>
      <c r="D12" s="14"/>
      <c r="E12" s="14"/>
      <c r="F12" s="14"/>
      <c r="G12" s="14"/>
      <c r="H12" s="14"/>
      <c r="I12" s="14"/>
    </row>
    <row r="13" spans="1:9" ht="33" customHeight="1" x14ac:dyDescent="0.3">
      <c r="A13" s="16" t="s">
        <v>29</v>
      </c>
      <c r="B13" s="17" t="s">
        <v>28</v>
      </c>
      <c r="C13" s="16" t="s">
        <v>27</v>
      </c>
      <c r="D13" s="16" t="s">
        <v>26</v>
      </c>
      <c r="E13" s="16" t="s">
        <v>25</v>
      </c>
      <c r="F13" s="16" t="s">
        <v>24</v>
      </c>
      <c r="G13" s="16" t="s">
        <v>23</v>
      </c>
      <c r="H13" s="16" t="s">
        <v>5</v>
      </c>
      <c r="I13" s="16" t="s">
        <v>22</v>
      </c>
    </row>
    <row r="14" spans="1:9" ht="33" customHeight="1" x14ac:dyDescent="0.3">
      <c r="A14" s="18">
        <v>44581</v>
      </c>
      <c r="B14" s="19" t="s">
        <v>441</v>
      </c>
      <c r="C14" s="20" t="s">
        <v>13</v>
      </c>
      <c r="D14" s="21" t="s">
        <v>509</v>
      </c>
      <c r="E14" s="22" t="s">
        <v>508</v>
      </c>
      <c r="F14" s="23">
        <v>15321.6</v>
      </c>
      <c r="G14" s="24">
        <v>14592</v>
      </c>
      <c r="H14" s="24">
        <v>729.6</v>
      </c>
      <c r="I14" s="24"/>
    </row>
    <row r="15" spans="1:9" ht="33" customHeight="1" x14ac:dyDescent="0.3">
      <c r="A15" s="26">
        <v>44596</v>
      </c>
      <c r="B15" s="27" t="s">
        <v>441</v>
      </c>
      <c r="C15" s="28" t="s">
        <v>20</v>
      </c>
      <c r="D15" s="29" t="s">
        <v>507</v>
      </c>
      <c r="E15" s="30" t="s">
        <v>297</v>
      </c>
      <c r="F15" s="31">
        <v>15321.6</v>
      </c>
      <c r="G15" s="32"/>
      <c r="H15" s="32"/>
      <c r="I15" s="32">
        <v>15321.6</v>
      </c>
    </row>
    <row r="16" spans="1:9" ht="33" customHeight="1" x14ac:dyDescent="0.3">
      <c r="A16" s="26">
        <v>44601</v>
      </c>
      <c r="B16" s="27" t="s">
        <v>441</v>
      </c>
      <c r="C16" s="28" t="s">
        <v>13</v>
      </c>
      <c r="D16" s="29" t="s">
        <v>506</v>
      </c>
      <c r="E16" s="30" t="s">
        <v>505</v>
      </c>
      <c r="F16" s="31">
        <v>24998.400000000001</v>
      </c>
      <c r="G16" s="32">
        <v>23808</v>
      </c>
      <c r="H16" s="32">
        <v>1190.4000000000001</v>
      </c>
      <c r="I16" s="32"/>
    </row>
    <row r="17" spans="1:9" ht="33" customHeight="1" x14ac:dyDescent="0.3">
      <c r="A17" s="26">
        <v>44622</v>
      </c>
      <c r="B17" s="27" t="s">
        <v>441</v>
      </c>
      <c r="C17" s="28" t="s">
        <v>20</v>
      </c>
      <c r="D17" s="29" t="s">
        <v>504</v>
      </c>
      <c r="E17" s="30" t="s">
        <v>503</v>
      </c>
      <c r="F17" s="31">
        <v>24998.400000000001</v>
      </c>
      <c r="G17" s="32"/>
      <c r="H17" s="32"/>
      <c r="I17" s="32">
        <v>24998.400000000001</v>
      </c>
    </row>
    <row r="18" spans="1:9" ht="33" customHeight="1" x14ac:dyDescent="0.3">
      <c r="A18" s="26">
        <v>44629</v>
      </c>
      <c r="B18" s="27" t="s">
        <v>441</v>
      </c>
      <c r="C18" s="28" t="s">
        <v>13</v>
      </c>
      <c r="D18" s="29" t="s">
        <v>502</v>
      </c>
      <c r="E18" s="30" t="s">
        <v>501</v>
      </c>
      <c r="F18" s="31">
        <v>22579.200000000001</v>
      </c>
      <c r="G18" s="32">
        <v>21504</v>
      </c>
      <c r="H18" s="32">
        <v>1075.2</v>
      </c>
      <c r="I18" s="32"/>
    </row>
    <row r="19" spans="1:9" ht="33" customHeight="1" x14ac:dyDescent="0.3">
      <c r="A19" s="26">
        <v>44655</v>
      </c>
      <c r="B19" s="27" t="s">
        <v>441</v>
      </c>
      <c r="C19" s="28" t="s">
        <v>20</v>
      </c>
      <c r="D19" s="29" t="s">
        <v>500</v>
      </c>
      <c r="E19" s="30" t="s">
        <v>297</v>
      </c>
      <c r="F19" s="31">
        <v>22579.200000000001</v>
      </c>
      <c r="G19" s="32"/>
      <c r="H19" s="32"/>
      <c r="I19" s="32">
        <v>22579.200000000001</v>
      </c>
    </row>
    <row r="20" spans="1:9" ht="33" customHeight="1" x14ac:dyDescent="0.3">
      <c r="A20" s="26">
        <v>44665</v>
      </c>
      <c r="B20" s="27" t="s">
        <v>441</v>
      </c>
      <c r="C20" s="28" t="s">
        <v>13</v>
      </c>
      <c r="D20" s="29" t="s">
        <v>499</v>
      </c>
      <c r="E20" s="30" t="s">
        <v>498</v>
      </c>
      <c r="F20" s="31">
        <v>10752</v>
      </c>
      <c r="G20" s="32">
        <v>10240</v>
      </c>
      <c r="H20" s="32">
        <v>512</v>
      </c>
      <c r="I20" s="32"/>
    </row>
    <row r="21" spans="1:9" ht="33" customHeight="1" x14ac:dyDescent="0.3">
      <c r="A21" s="26">
        <v>44666</v>
      </c>
      <c r="B21" s="27" t="s">
        <v>441</v>
      </c>
      <c r="C21" s="28" t="s">
        <v>13</v>
      </c>
      <c r="D21" s="29" t="s">
        <v>497</v>
      </c>
      <c r="E21" s="30" t="s">
        <v>496</v>
      </c>
      <c r="F21" s="31">
        <v>24998.400000000001</v>
      </c>
      <c r="G21" s="32">
        <v>23808</v>
      </c>
      <c r="H21" s="32">
        <v>1190.4000000000001</v>
      </c>
      <c r="I21" s="32"/>
    </row>
    <row r="22" spans="1:9" ht="33" customHeight="1" x14ac:dyDescent="0.3">
      <c r="A22" s="26">
        <v>44689</v>
      </c>
      <c r="B22" s="27" t="s">
        <v>441</v>
      </c>
      <c r="C22" s="28" t="s">
        <v>13</v>
      </c>
      <c r="D22" s="29" t="s">
        <v>495</v>
      </c>
      <c r="E22" s="30" t="s">
        <v>494</v>
      </c>
      <c r="F22" s="31">
        <v>2688</v>
      </c>
      <c r="G22" s="32">
        <v>2560</v>
      </c>
      <c r="H22" s="32">
        <v>128</v>
      </c>
      <c r="I22" s="32"/>
    </row>
    <row r="23" spans="1:9" ht="33" customHeight="1" x14ac:dyDescent="0.3">
      <c r="A23" s="26">
        <v>44689</v>
      </c>
      <c r="B23" s="27" t="s">
        <v>441</v>
      </c>
      <c r="C23" s="28" t="s">
        <v>13</v>
      </c>
      <c r="D23" s="29" t="s">
        <v>493</v>
      </c>
      <c r="E23" s="30" t="s">
        <v>492</v>
      </c>
      <c r="F23" s="31">
        <v>24192</v>
      </c>
      <c r="G23" s="32">
        <v>23040</v>
      </c>
      <c r="H23" s="32">
        <v>1152</v>
      </c>
      <c r="I23" s="32"/>
    </row>
    <row r="24" spans="1:9" ht="33" customHeight="1" x14ac:dyDescent="0.3">
      <c r="A24" s="26">
        <v>44717</v>
      </c>
      <c r="B24" s="27" t="s">
        <v>441</v>
      </c>
      <c r="C24" s="28" t="s">
        <v>13</v>
      </c>
      <c r="D24" s="29" t="s">
        <v>491</v>
      </c>
      <c r="E24" s="30" t="s">
        <v>490</v>
      </c>
      <c r="F24" s="31">
        <v>19051.2</v>
      </c>
      <c r="G24" s="32">
        <v>18144</v>
      </c>
      <c r="H24" s="32">
        <v>907.2</v>
      </c>
      <c r="I24" s="32"/>
    </row>
    <row r="25" spans="1:9" ht="33" customHeight="1" x14ac:dyDescent="0.3">
      <c r="A25" s="26">
        <v>44746</v>
      </c>
      <c r="B25" s="27" t="s">
        <v>441</v>
      </c>
      <c r="C25" s="28" t="s">
        <v>20</v>
      </c>
      <c r="D25" s="29" t="s">
        <v>489</v>
      </c>
      <c r="E25" s="30" t="s">
        <v>485</v>
      </c>
      <c r="F25" s="31">
        <v>35750.400000000001</v>
      </c>
      <c r="G25" s="32"/>
      <c r="H25" s="32"/>
      <c r="I25" s="32">
        <v>35750.400000000001</v>
      </c>
    </row>
    <row r="26" spans="1:9" ht="33" customHeight="1" x14ac:dyDescent="0.3">
      <c r="A26" s="26">
        <v>44748</v>
      </c>
      <c r="B26" s="27" t="s">
        <v>441</v>
      </c>
      <c r="C26" s="28" t="s">
        <v>13</v>
      </c>
      <c r="D26" s="29" t="s">
        <v>488</v>
      </c>
      <c r="E26" s="30" t="s">
        <v>487</v>
      </c>
      <c r="F26" s="31">
        <v>8064</v>
      </c>
      <c r="G26" s="32">
        <v>7680</v>
      </c>
      <c r="H26" s="32">
        <v>384</v>
      </c>
      <c r="I26" s="32"/>
    </row>
    <row r="27" spans="1:9" ht="33" customHeight="1" x14ac:dyDescent="0.3">
      <c r="A27" s="26">
        <v>44756</v>
      </c>
      <c r="B27" s="27" t="s">
        <v>441</v>
      </c>
      <c r="C27" s="28" t="s">
        <v>20</v>
      </c>
      <c r="D27" s="29" t="s">
        <v>486</v>
      </c>
      <c r="E27" s="30" t="s">
        <v>485</v>
      </c>
      <c r="F27" s="31">
        <v>53995.199999999997</v>
      </c>
      <c r="G27" s="32"/>
      <c r="H27" s="32"/>
      <c r="I27" s="32">
        <v>53995.199999999997</v>
      </c>
    </row>
    <row r="28" spans="1:9" ht="33" customHeight="1" x14ac:dyDescent="0.3">
      <c r="A28" s="26">
        <v>44781</v>
      </c>
      <c r="B28" s="27" t="s">
        <v>441</v>
      </c>
      <c r="C28" s="28" t="s">
        <v>13</v>
      </c>
      <c r="D28" s="29" t="s">
        <v>484</v>
      </c>
      <c r="E28" s="30" t="s">
        <v>483</v>
      </c>
      <c r="F28" s="31">
        <v>7728</v>
      </c>
      <c r="G28" s="32">
        <v>7360</v>
      </c>
      <c r="H28" s="32">
        <v>368</v>
      </c>
      <c r="I28" s="32"/>
    </row>
    <row r="29" spans="1:9" ht="33" customHeight="1" x14ac:dyDescent="0.3">
      <c r="A29" s="26">
        <v>44817</v>
      </c>
      <c r="B29" s="27" t="s">
        <v>441</v>
      </c>
      <c r="C29" s="28" t="s">
        <v>20</v>
      </c>
      <c r="D29" s="29" t="s">
        <v>482</v>
      </c>
      <c r="E29" s="30" t="s">
        <v>481</v>
      </c>
      <c r="F29" s="31">
        <v>7728</v>
      </c>
      <c r="G29" s="32"/>
      <c r="H29" s="32"/>
      <c r="I29" s="32">
        <v>7728</v>
      </c>
    </row>
    <row r="30" spans="1:9" ht="33" customHeight="1" x14ac:dyDescent="0.3">
      <c r="A30" s="26">
        <v>44823</v>
      </c>
      <c r="B30" s="27" t="s">
        <v>441</v>
      </c>
      <c r="C30" s="28" t="s">
        <v>13</v>
      </c>
      <c r="D30" s="29" t="s">
        <v>480</v>
      </c>
      <c r="E30" s="30" t="s">
        <v>479</v>
      </c>
      <c r="F30" s="31">
        <v>9072</v>
      </c>
      <c r="G30" s="32">
        <v>8640</v>
      </c>
      <c r="H30" s="32">
        <v>432</v>
      </c>
      <c r="I30" s="32"/>
    </row>
    <row r="31" spans="1:9" ht="33" customHeight="1" x14ac:dyDescent="0.3">
      <c r="A31" s="26">
        <v>44841</v>
      </c>
      <c r="B31" s="27" t="s">
        <v>441</v>
      </c>
      <c r="C31" s="28" t="s">
        <v>13</v>
      </c>
      <c r="D31" s="29" t="s">
        <v>478</v>
      </c>
      <c r="E31" s="30" t="s">
        <v>477</v>
      </c>
      <c r="F31" s="31">
        <v>19320</v>
      </c>
      <c r="G31" s="32">
        <v>18400</v>
      </c>
      <c r="H31" s="32">
        <v>920</v>
      </c>
      <c r="I31" s="32"/>
    </row>
    <row r="32" spans="1:9" ht="33" customHeight="1" x14ac:dyDescent="0.3">
      <c r="A32" s="26">
        <v>44876</v>
      </c>
      <c r="B32" s="27" t="s">
        <v>441</v>
      </c>
      <c r="C32" s="28" t="s">
        <v>20</v>
      </c>
      <c r="D32" s="29" t="s">
        <v>476</v>
      </c>
      <c r="E32" s="30" t="s">
        <v>475</v>
      </c>
      <c r="F32" s="31">
        <v>9072</v>
      </c>
      <c r="G32" s="32"/>
      <c r="H32" s="32"/>
      <c r="I32" s="32">
        <v>9072</v>
      </c>
    </row>
    <row r="33" spans="1:9" ht="33" customHeight="1" x14ac:dyDescent="0.3">
      <c r="A33" s="26">
        <v>44880</v>
      </c>
      <c r="B33" s="27" t="s">
        <v>441</v>
      </c>
      <c r="C33" s="28" t="s">
        <v>13</v>
      </c>
      <c r="D33" s="29" t="s">
        <v>474</v>
      </c>
      <c r="E33" s="30" t="s">
        <v>473</v>
      </c>
      <c r="F33" s="31">
        <v>19219.2</v>
      </c>
      <c r="G33" s="32">
        <v>18304</v>
      </c>
      <c r="H33" s="32">
        <v>915.2</v>
      </c>
      <c r="I33" s="32"/>
    </row>
    <row r="34" spans="1:9" ht="33" customHeight="1" x14ac:dyDescent="0.3">
      <c r="A34" s="26">
        <v>44904</v>
      </c>
      <c r="B34" s="27" t="s">
        <v>441</v>
      </c>
      <c r="C34" s="28" t="s">
        <v>13</v>
      </c>
      <c r="D34" s="29" t="s">
        <v>472</v>
      </c>
      <c r="E34" s="30" t="s">
        <v>471</v>
      </c>
      <c r="F34" s="31">
        <v>25267.200000000001</v>
      </c>
      <c r="G34" s="32">
        <v>24064</v>
      </c>
      <c r="H34" s="32">
        <v>1203.2</v>
      </c>
      <c r="I34" s="32"/>
    </row>
    <row r="35" spans="1:9" ht="33" customHeight="1" x14ac:dyDescent="0.3">
      <c r="A35" s="26">
        <v>44921</v>
      </c>
      <c r="B35" s="27" t="s">
        <v>441</v>
      </c>
      <c r="C35" s="28" t="s">
        <v>20</v>
      </c>
      <c r="D35" s="29" t="s">
        <v>470</v>
      </c>
      <c r="E35" s="30" t="s">
        <v>297</v>
      </c>
      <c r="F35" s="31">
        <v>63806.400000000001</v>
      </c>
      <c r="G35" s="32"/>
      <c r="H35" s="32"/>
      <c r="I35" s="32">
        <v>63806.400000000001</v>
      </c>
    </row>
    <row r="36" spans="1:9" ht="33" customHeight="1" x14ac:dyDescent="0.3">
      <c r="A36" s="26">
        <v>44932</v>
      </c>
      <c r="B36" s="27" t="s">
        <v>441</v>
      </c>
      <c r="C36" s="28" t="s">
        <v>13</v>
      </c>
      <c r="D36" s="29" t="s">
        <v>469</v>
      </c>
      <c r="E36" s="30" t="s">
        <v>468</v>
      </c>
      <c r="F36" s="31">
        <v>28291.200000000001</v>
      </c>
      <c r="G36" s="32">
        <v>26944</v>
      </c>
      <c r="H36" s="32">
        <v>1347.2</v>
      </c>
      <c r="I36" s="32"/>
    </row>
    <row r="37" spans="1:9" ht="33" customHeight="1" x14ac:dyDescent="0.3">
      <c r="A37" s="26">
        <v>44964</v>
      </c>
      <c r="B37" s="27" t="s">
        <v>441</v>
      </c>
      <c r="C37" s="28" t="s">
        <v>13</v>
      </c>
      <c r="D37" s="29" t="s">
        <v>467</v>
      </c>
      <c r="E37" s="30" t="s">
        <v>466</v>
      </c>
      <c r="F37" s="31">
        <v>26812.799999999999</v>
      </c>
      <c r="G37" s="32">
        <v>25536</v>
      </c>
      <c r="H37" s="32">
        <v>1276.8</v>
      </c>
      <c r="I37" s="32"/>
    </row>
    <row r="38" spans="1:9" ht="33" customHeight="1" x14ac:dyDescent="0.3">
      <c r="A38" s="26">
        <v>44991</v>
      </c>
      <c r="B38" s="27" t="s">
        <v>441</v>
      </c>
      <c r="C38" s="28" t="s">
        <v>13</v>
      </c>
      <c r="D38" s="29" t="s">
        <v>465</v>
      </c>
      <c r="E38" s="30" t="s">
        <v>464</v>
      </c>
      <c r="F38" s="31">
        <v>43545.599999999999</v>
      </c>
      <c r="G38" s="32">
        <v>41472</v>
      </c>
      <c r="H38" s="32">
        <v>2073.6</v>
      </c>
      <c r="I38" s="32"/>
    </row>
    <row r="39" spans="1:9" ht="33" customHeight="1" x14ac:dyDescent="0.3">
      <c r="A39" s="26">
        <v>45006</v>
      </c>
      <c r="B39" s="27" t="s">
        <v>441</v>
      </c>
      <c r="C39" s="28" t="s">
        <v>20</v>
      </c>
      <c r="D39" s="29" t="s">
        <v>463</v>
      </c>
      <c r="E39" s="30" t="s">
        <v>462</v>
      </c>
      <c r="F39" s="31">
        <v>55104</v>
      </c>
      <c r="G39" s="32"/>
      <c r="H39" s="32"/>
      <c r="I39" s="32">
        <v>55104</v>
      </c>
    </row>
    <row r="40" spans="1:9" ht="33" customHeight="1" x14ac:dyDescent="0.3">
      <c r="A40" s="26">
        <v>45022</v>
      </c>
      <c r="B40" s="27" t="s">
        <v>441</v>
      </c>
      <c r="C40" s="28" t="s">
        <v>13</v>
      </c>
      <c r="D40" s="29" t="s">
        <v>461</v>
      </c>
      <c r="E40" s="30" t="s">
        <v>460</v>
      </c>
      <c r="F40" s="31">
        <v>24796.799999999999</v>
      </c>
      <c r="G40" s="32">
        <v>23616</v>
      </c>
      <c r="H40" s="32">
        <v>1180.8</v>
      </c>
      <c r="I40" s="32"/>
    </row>
    <row r="41" spans="1:9" ht="33" customHeight="1" x14ac:dyDescent="0.3">
      <c r="A41" s="26">
        <v>45049</v>
      </c>
      <c r="B41" s="27" t="s">
        <v>441</v>
      </c>
      <c r="C41" s="28" t="s">
        <v>13</v>
      </c>
      <c r="D41" s="29" t="s">
        <v>459</v>
      </c>
      <c r="E41" s="30" t="s">
        <v>458</v>
      </c>
      <c r="F41" s="31">
        <v>13574.4</v>
      </c>
      <c r="G41" s="32">
        <v>12928</v>
      </c>
      <c r="H41" s="32">
        <v>646.4</v>
      </c>
      <c r="I41" s="32"/>
    </row>
    <row r="42" spans="1:9" ht="33" customHeight="1" x14ac:dyDescent="0.3">
      <c r="A42" s="26">
        <v>45084</v>
      </c>
      <c r="B42" s="27" t="s">
        <v>441</v>
      </c>
      <c r="C42" s="28" t="s">
        <v>13</v>
      </c>
      <c r="D42" s="29" t="s">
        <v>457</v>
      </c>
      <c r="E42" s="30" t="s">
        <v>456</v>
      </c>
      <c r="F42" s="31">
        <v>21772.799999999999</v>
      </c>
      <c r="G42" s="32">
        <v>20736</v>
      </c>
      <c r="H42" s="32">
        <v>1036.8</v>
      </c>
      <c r="I42" s="32"/>
    </row>
    <row r="43" spans="1:9" ht="33" customHeight="1" x14ac:dyDescent="0.3">
      <c r="A43" s="26">
        <v>45111</v>
      </c>
      <c r="B43" s="27" t="s">
        <v>441</v>
      </c>
      <c r="C43" s="28" t="s">
        <v>13</v>
      </c>
      <c r="D43" s="29" t="s">
        <v>455</v>
      </c>
      <c r="E43" s="30" t="s">
        <v>454</v>
      </c>
      <c r="F43" s="31">
        <v>17136</v>
      </c>
      <c r="G43" s="32">
        <v>16320</v>
      </c>
      <c r="H43" s="32">
        <v>816</v>
      </c>
      <c r="I43" s="32"/>
    </row>
    <row r="44" spans="1:9" ht="22.8" x14ac:dyDescent="0.3">
      <c r="A44" s="26">
        <v>45124</v>
      </c>
      <c r="B44" s="27" t="s">
        <v>441</v>
      </c>
      <c r="C44" s="28" t="s">
        <v>20</v>
      </c>
      <c r="D44" s="29" t="s">
        <v>453</v>
      </c>
      <c r="E44" s="30" t="s">
        <v>452</v>
      </c>
      <c r="F44" s="31">
        <v>103689.60000000001</v>
      </c>
      <c r="G44" s="32"/>
      <c r="H44" s="32"/>
      <c r="I44" s="32">
        <v>103689.60000000001</v>
      </c>
    </row>
    <row r="45" spans="1:9" ht="33" customHeight="1" x14ac:dyDescent="0.3">
      <c r="A45" s="26">
        <v>45146</v>
      </c>
      <c r="B45" s="27" t="s">
        <v>441</v>
      </c>
      <c r="C45" s="28" t="s">
        <v>13</v>
      </c>
      <c r="D45" s="29" t="s">
        <v>451</v>
      </c>
      <c r="E45" s="30" t="s">
        <v>450</v>
      </c>
      <c r="F45" s="31">
        <v>24998.400000000001</v>
      </c>
      <c r="G45" s="32">
        <v>23808</v>
      </c>
      <c r="H45" s="32">
        <v>1190.4000000000001</v>
      </c>
      <c r="I45" s="32"/>
    </row>
    <row r="46" spans="1:9" ht="33" customHeight="1" x14ac:dyDescent="0.3">
      <c r="A46" s="26">
        <v>45173</v>
      </c>
      <c r="B46" s="27" t="s">
        <v>441</v>
      </c>
      <c r="C46" s="28" t="s">
        <v>13</v>
      </c>
      <c r="D46" s="29" t="s">
        <v>449</v>
      </c>
      <c r="E46" s="30" t="s">
        <v>448</v>
      </c>
      <c r="F46" s="31">
        <v>41328</v>
      </c>
      <c r="G46" s="32">
        <v>39360</v>
      </c>
      <c r="H46" s="32">
        <v>1968</v>
      </c>
      <c r="I46" s="32"/>
    </row>
    <row r="47" spans="1:9" ht="33" customHeight="1" x14ac:dyDescent="0.3">
      <c r="A47" s="26">
        <v>45195</v>
      </c>
      <c r="B47" s="27" t="s">
        <v>441</v>
      </c>
      <c r="C47" s="28" t="s">
        <v>20</v>
      </c>
      <c r="D47" s="29" t="s">
        <v>447</v>
      </c>
      <c r="E47" s="30" t="s">
        <v>446</v>
      </c>
      <c r="F47" s="31">
        <v>42134.400000000001</v>
      </c>
      <c r="G47" s="32"/>
      <c r="H47" s="32"/>
      <c r="I47" s="32">
        <v>42134.400000000001</v>
      </c>
    </row>
    <row r="48" spans="1:9" ht="33" customHeight="1" x14ac:dyDescent="0.3">
      <c r="A48" s="26">
        <v>45201</v>
      </c>
      <c r="B48" s="27" t="s">
        <v>441</v>
      </c>
      <c r="C48" s="28" t="s">
        <v>13</v>
      </c>
      <c r="D48" s="29" t="s">
        <v>445</v>
      </c>
      <c r="E48" s="30" t="s">
        <v>444</v>
      </c>
      <c r="F48" s="31">
        <v>39513.599999999999</v>
      </c>
      <c r="G48" s="32">
        <v>37632</v>
      </c>
      <c r="H48" s="32">
        <v>1881.6</v>
      </c>
      <c r="I48" s="32"/>
    </row>
    <row r="49" spans="1:9" ht="33" customHeight="1" x14ac:dyDescent="0.3">
      <c r="A49" s="26">
        <v>45233</v>
      </c>
      <c r="B49" s="27" t="s">
        <v>441</v>
      </c>
      <c r="C49" s="28" t="s">
        <v>13</v>
      </c>
      <c r="D49" s="29" t="s">
        <v>443</v>
      </c>
      <c r="E49" s="30" t="s">
        <v>442</v>
      </c>
      <c r="F49" s="31">
        <v>19958.400000000001</v>
      </c>
      <c r="G49" s="32">
        <v>19008</v>
      </c>
      <c r="H49" s="32">
        <v>950.4</v>
      </c>
      <c r="I49" s="32"/>
    </row>
    <row r="50" spans="1:9" ht="33" customHeight="1" x14ac:dyDescent="0.3">
      <c r="A50" s="26">
        <v>45266</v>
      </c>
      <c r="B50" s="27" t="s">
        <v>441</v>
      </c>
      <c r="C50" s="28" t="s">
        <v>13</v>
      </c>
      <c r="D50" s="29" t="s">
        <v>440</v>
      </c>
      <c r="E50" s="30" t="s">
        <v>439</v>
      </c>
      <c r="F50" s="31">
        <v>18480</v>
      </c>
      <c r="G50" s="32">
        <v>17600</v>
      </c>
      <c r="H50" s="32">
        <v>880</v>
      </c>
      <c r="I50" s="32"/>
    </row>
    <row r="51" spans="1:9" x14ac:dyDescent="0.3">
      <c r="A51" s="40"/>
      <c r="B51" s="34" t="s">
        <v>10</v>
      </c>
      <c r="C51" s="35" t="s">
        <v>9</v>
      </c>
      <c r="D51" s="36" t="s">
        <v>9</v>
      </c>
      <c r="E51" s="37" t="s">
        <v>9</v>
      </c>
      <c r="F51" s="38">
        <v>119280</v>
      </c>
      <c r="G51" s="39">
        <v>527104</v>
      </c>
      <c r="H51" s="39">
        <v>26355.200000000001</v>
      </c>
      <c r="I51" s="39">
        <v>434179.2</v>
      </c>
    </row>
  </sheetData>
  <mergeCells count="11">
    <mergeCell ref="A8:C8"/>
    <mergeCell ref="A9:C9"/>
    <mergeCell ref="A10:C10"/>
    <mergeCell ref="A11:C11"/>
    <mergeCell ref="A12:C12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</vt:i4>
      </vt:variant>
    </vt:vector>
  </HeadingPairs>
  <TitlesOfParts>
    <vt:vector size="32" baseType="lpstr">
      <vt:lpstr>Software</vt:lpstr>
      <vt:lpstr>Telecom</vt:lpstr>
      <vt:lpstr>Sheet2</vt:lpstr>
      <vt:lpstr>Sheet1</vt:lpstr>
      <vt:lpstr>PROBUS</vt:lpstr>
      <vt:lpstr>MMEC Mannesmann LLC</vt:lpstr>
      <vt:lpstr>Oil Refining Company(TAKREER)</vt:lpstr>
      <vt:lpstr>Security System - SOUR GAS</vt:lpstr>
      <vt:lpstr>Mirfa Busduct</vt:lpstr>
      <vt:lpstr>Sicon Oil &amp; Gas S.P.A.</vt:lpstr>
      <vt:lpstr>Mechanical Maintenance</vt:lpstr>
      <vt:lpstr>ENE - Cathodic Protection Digit</vt:lpstr>
      <vt:lpstr>SOOT BLOWERS</vt:lpstr>
      <vt:lpstr>Civil Works at ADNOC</vt:lpstr>
      <vt:lpstr>Technical Services UPS</vt:lpstr>
      <vt:lpstr>Magma Waste Treatment</vt:lpstr>
      <vt:lpstr>Saari Caravan</vt:lpstr>
      <vt:lpstr>Transformer spare</vt:lpstr>
      <vt:lpstr>ADNOC DISTRIBUTION ATS Panel </vt:lpstr>
      <vt:lpstr>Sour Gas Instrument &amp; Control S</vt:lpstr>
      <vt:lpstr>Oil Refining Old Battery banks</vt:lpstr>
      <vt:lpstr>Oil Refining Electrical PDM</vt:lpstr>
      <vt:lpstr>Oil Refining  Jetty Berths</vt:lpstr>
      <vt:lpstr>ADNOC Onshore 20 gaswells</vt:lpstr>
      <vt:lpstr>On Shore Revamping of Flow line</vt:lpstr>
      <vt:lpstr>Borouge CCTV Upgradation</vt:lpstr>
      <vt:lpstr>ADNOC Gas Processing Thermowell</vt:lpstr>
      <vt:lpstr>WISON ENERGY</vt:lpstr>
      <vt:lpstr>Software!Print_Area</vt:lpstr>
      <vt:lpstr>Telecom!Print_Area</vt:lpstr>
      <vt:lpstr>Software!Print_Titles</vt:lpstr>
      <vt:lpstr>Telecom!Print_Titles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Teena</dc:creator>
  <cp:lastModifiedBy>Sonali</cp:lastModifiedBy>
  <cp:lastPrinted>2026-01-30T08:37:19Z</cp:lastPrinted>
  <dcterms:created xsi:type="dcterms:W3CDTF">2015-06-05T18:17:20Z</dcterms:created>
  <dcterms:modified xsi:type="dcterms:W3CDTF">2026-05-11T05:34:46Z</dcterms:modified>
</cp:coreProperties>
</file>